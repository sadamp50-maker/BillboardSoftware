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I:\ali sab\"/>
    </mc:Choice>
  </mc:AlternateContent>
  <bookViews>
    <workbookView xWindow="0" yWindow="0" windowWidth="21600" windowHeight="9630"/>
  </bookViews>
  <sheets>
    <sheet name="Billboard Rentals" sheetId="1" r:id="rId1"/>
    <sheet name="Summary Dashboard" sheetId="2" r:id="rId2"/>
    <sheet name="SavedData" sheetId="3" r:id="rId3"/>
  </sheets>
  <calcPr calcId="162913"/>
</workbook>
</file>

<file path=xl/calcChain.xml><?xml version="1.0" encoding="utf-8"?>
<calcChain xmlns="http://schemas.openxmlformats.org/spreadsheetml/2006/main">
  <c r="B5" i="2" l="1"/>
  <c r="E10" i="2" s="1"/>
  <c r="B4" i="2"/>
  <c r="E9" i="2" s="1"/>
  <c r="B3" i="2"/>
  <c r="R51" i="1"/>
  <c r="Q51" i="1"/>
  <c r="O51" i="1"/>
  <c r="B51" i="1"/>
  <c r="R50" i="1"/>
  <c r="Q50" i="1"/>
  <c r="O50" i="1"/>
  <c r="B50" i="1"/>
  <c r="R49" i="1"/>
  <c r="Q49" i="1"/>
  <c r="O49" i="1"/>
  <c r="B49" i="1"/>
  <c r="R48" i="1"/>
  <c r="Q48" i="1"/>
  <c r="O48" i="1"/>
  <c r="B48" i="1"/>
  <c r="R47" i="1"/>
  <c r="Q47" i="1"/>
  <c r="O47" i="1"/>
  <c r="B47" i="1"/>
  <c r="R46" i="1"/>
  <c r="Q46" i="1"/>
  <c r="O46" i="1"/>
  <c r="B46" i="1"/>
  <c r="R45" i="1"/>
  <c r="Q45" i="1"/>
  <c r="O45" i="1"/>
  <c r="B45" i="1"/>
  <c r="R44" i="1"/>
  <c r="Q44" i="1"/>
  <c r="O44" i="1"/>
  <c r="B44" i="1"/>
  <c r="R43" i="1"/>
  <c r="Q43" i="1"/>
  <c r="O43" i="1"/>
  <c r="B43" i="1"/>
  <c r="R42" i="1"/>
  <c r="Q42" i="1"/>
  <c r="O42" i="1"/>
  <c r="B42" i="1"/>
  <c r="R41" i="1"/>
  <c r="Q41" i="1"/>
  <c r="O41" i="1"/>
  <c r="B41" i="1"/>
  <c r="R40" i="1"/>
  <c r="Q40" i="1"/>
  <c r="O40" i="1"/>
  <c r="B40" i="1"/>
  <c r="R39" i="1"/>
  <c r="Q39" i="1"/>
  <c r="O39" i="1"/>
  <c r="B39" i="1"/>
  <c r="R38" i="1"/>
  <c r="Q38" i="1"/>
  <c r="O38" i="1"/>
  <c r="B38" i="1"/>
  <c r="R37" i="1"/>
  <c r="Q37" i="1"/>
  <c r="O37" i="1"/>
  <c r="B37" i="1"/>
  <c r="R36" i="1"/>
  <c r="Q36" i="1"/>
  <c r="O36" i="1"/>
  <c r="B36" i="1"/>
  <c r="R35" i="1"/>
  <c r="Q35" i="1"/>
  <c r="O35" i="1"/>
  <c r="B35" i="1"/>
  <c r="R34" i="1"/>
  <c r="Q34" i="1"/>
  <c r="O34" i="1"/>
  <c r="B34" i="1"/>
  <c r="R33" i="1"/>
  <c r="Q33" i="1"/>
  <c r="O33" i="1"/>
  <c r="B33" i="1"/>
  <c r="R32" i="1"/>
  <c r="Q32" i="1"/>
  <c r="O32" i="1"/>
  <c r="B32" i="1"/>
  <c r="R31" i="1"/>
  <c r="Q31" i="1"/>
  <c r="O31" i="1"/>
  <c r="B31" i="1"/>
  <c r="R30" i="1"/>
  <c r="Q30" i="1"/>
  <c r="O30" i="1"/>
  <c r="B30" i="1"/>
  <c r="R29" i="1"/>
  <c r="Q29" i="1"/>
  <c r="O29" i="1"/>
  <c r="B29" i="1"/>
  <c r="R28" i="1"/>
  <c r="Q28" i="1"/>
  <c r="O28" i="1"/>
  <c r="B28" i="1"/>
  <c r="R27" i="1"/>
  <c r="Q27" i="1"/>
  <c r="O27" i="1"/>
  <c r="B27" i="1"/>
  <c r="R26" i="1"/>
  <c r="Q26" i="1"/>
  <c r="O26" i="1"/>
  <c r="B26" i="1"/>
  <c r="R25" i="1"/>
  <c r="Q25" i="1"/>
  <c r="O25" i="1"/>
  <c r="B25" i="1"/>
  <c r="R24" i="1"/>
  <c r="Q24" i="1"/>
  <c r="O24" i="1"/>
  <c r="B24" i="1"/>
  <c r="R23" i="1"/>
  <c r="Q23" i="1"/>
  <c r="O23" i="1"/>
  <c r="B23" i="1"/>
  <c r="R22" i="1"/>
  <c r="Q22" i="1"/>
  <c r="O22" i="1"/>
  <c r="B22" i="1"/>
  <c r="R21" i="1"/>
  <c r="Q21" i="1"/>
  <c r="O21" i="1"/>
  <c r="B21" i="1"/>
  <c r="R20" i="1"/>
  <c r="Q20" i="1"/>
  <c r="O20" i="1"/>
  <c r="B20" i="1"/>
  <c r="R19" i="1"/>
  <c r="Q19" i="1"/>
  <c r="O19" i="1"/>
  <c r="B19" i="1"/>
  <c r="R18" i="1"/>
  <c r="Q18" i="1"/>
  <c r="O18" i="1"/>
  <c r="B18" i="1"/>
  <c r="R17" i="1"/>
  <c r="Q17" i="1"/>
  <c r="O17" i="1"/>
  <c r="B17" i="1"/>
  <c r="R16" i="1"/>
  <c r="Q16" i="1"/>
  <c r="O16" i="1"/>
  <c r="B16" i="1"/>
  <c r="R15" i="1"/>
  <c r="Q15" i="1"/>
  <c r="O15" i="1"/>
  <c r="B15" i="1"/>
  <c r="R14" i="1"/>
  <c r="Q14" i="1"/>
  <c r="O14" i="1"/>
  <c r="B14" i="1"/>
  <c r="R13" i="1"/>
  <c r="Q13" i="1"/>
  <c r="O13" i="1"/>
  <c r="B13" i="1"/>
  <c r="R12" i="1"/>
  <c r="Q12" i="1"/>
  <c r="O12" i="1"/>
  <c r="B12" i="1"/>
  <c r="R11" i="1"/>
  <c r="Q11" i="1"/>
  <c r="O11" i="1"/>
  <c r="B11" i="1"/>
  <c r="R10" i="1"/>
  <c r="Q10" i="1"/>
  <c r="O10" i="1"/>
  <c r="B10" i="1"/>
  <c r="R9" i="1"/>
  <c r="Q9" i="1"/>
  <c r="O9" i="1"/>
  <c r="B9" i="1"/>
  <c r="R8" i="1"/>
  <c r="Q8" i="1"/>
  <c r="O8" i="1"/>
  <c r="B8" i="1"/>
  <c r="R7" i="1"/>
  <c r="Q7" i="1"/>
  <c r="O7" i="1"/>
  <c r="B7" i="1"/>
  <c r="R6" i="1"/>
  <c r="Q6" i="1"/>
  <c r="O6" i="1"/>
  <c r="B6" i="1"/>
  <c r="R5" i="1"/>
  <c r="Q5" i="1"/>
  <c r="O5" i="1"/>
  <c r="B5" i="1"/>
  <c r="R4" i="1"/>
  <c r="Q4" i="1"/>
  <c r="O4" i="1"/>
  <c r="B4" i="1"/>
  <c r="R3" i="1"/>
  <c r="Q3" i="1"/>
  <c r="O3" i="1"/>
  <c r="B3" i="1"/>
  <c r="R2" i="1"/>
  <c r="Q2" i="1"/>
  <c r="O2" i="1"/>
  <c r="B6" i="2" s="1"/>
  <c r="B7" i="2" l="1"/>
  <c r="E5" i="2" s="1"/>
  <c r="B8" i="2"/>
  <c r="E11" i="2"/>
  <c r="E4" i="2"/>
</calcChain>
</file>

<file path=xl/sharedStrings.xml><?xml version="1.0" encoding="utf-8"?>
<sst xmlns="http://schemas.openxmlformats.org/spreadsheetml/2006/main" count="256" uniqueCount="133">
  <si>
    <t>Sr. No.</t>
  </si>
  <si>
    <t>Billboard ID</t>
  </si>
  <si>
    <t>Location / Address</t>
  </si>
  <si>
    <t>Billboard Size</t>
  </si>
  <si>
    <t>Client Name</t>
  </si>
  <si>
    <t>Company Name</t>
  </si>
  <si>
    <t>Contact Number</t>
  </si>
  <si>
    <t>Email</t>
  </si>
  <si>
    <t>Contract Start Date</t>
  </si>
  <si>
    <t>Contract End Date</t>
  </si>
  <si>
    <t>Rental Duration (Year / Month / 15 Days / Custom)</t>
  </si>
  <si>
    <t>Rent Amount (PKR)</t>
  </si>
  <si>
    <t>Advance Received (PKR)</t>
  </si>
  <si>
    <t>Balance / Credit (PKR)</t>
  </si>
  <si>
    <t>Payment Status (Paid / Unpaid / Partial)</t>
  </si>
  <si>
    <t>Contract Status (Active / Expired)</t>
  </si>
  <si>
    <t>Days Remaining</t>
  </si>
  <si>
    <t>Remarks / Notes</t>
  </si>
  <si>
    <t>Billboard Image / Link</t>
  </si>
  <si>
    <t>Partner’s share</t>
  </si>
  <si>
    <t>Total Paid (PKR)</t>
  </si>
  <si>
    <t>Balance After Payments (PKR)</t>
  </si>
  <si>
    <t xml:space="preserve">Ufone Rizwan </t>
  </si>
  <si>
    <t xml:space="preserve">Ufone Chowk </t>
  </si>
  <si>
    <t>60x20</t>
  </si>
  <si>
    <t xml:space="preserve">Zia </t>
  </si>
  <si>
    <t>UNICEF</t>
  </si>
  <si>
    <t>Nil</t>
  </si>
  <si>
    <t>15 Days</t>
  </si>
  <si>
    <t>UnPaid</t>
  </si>
  <si>
    <t>Rizwan 47,000/=</t>
  </si>
  <si>
    <t>Ufone Musawir</t>
  </si>
  <si>
    <t>Ufone Ahad</t>
  </si>
  <si>
    <t>Ufone 45x15</t>
  </si>
  <si>
    <t>45x15</t>
  </si>
  <si>
    <t>DHA</t>
  </si>
  <si>
    <t>DHA Quetta</t>
  </si>
  <si>
    <t>1 Month</t>
  </si>
  <si>
    <t>Unpaid</t>
  </si>
  <si>
    <t>Ufone Sarena</t>
  </si>
  <si>
    <t>10x20</t>
  </si>
  <si>
    <t>Koila Phatak</t>
  </si>
  <si>
    <t>Koila phatak CHowk</t>
  </si>
  <si>
    <t>Garrison 45x15</t>
  </si>
  <si>
    <t xml:space="preserve">gora Qabristan </t>
  </si>
  <si>
    <t>Garrison</t>
  </si>
  <si>
    <t>Askari CP</t>
  </si>
  <si>
    <t xml:space="preserve">Airport Road </t>
  </si>
  <si>
    <t>ASkari Park out</t>
  </si>
  <si>
    <t xml:space="preserve">Askari park in </t>
  </si>
  <si>
    <t xml:space="preserve">Askari  park </t>
  </si>
  <si>
    <t xml:space="preserve">airport Road </t>
  </si>
  <si>
    <t>20x20</t>
  </si>
  <si>
    <t>QA Mall</t>
  </si>
  <si>
    <t>45X15</t>
  </si>
  <si>
    <t>Almo Chowk</t>
  </si>
  <si>
    <t>Honda Car</t>
  </si>
  <si>
    <t>50x25</t>
  </si>
  <si>
    <t>Baleli</t>
  </si>
  <si>
    <t xml:space="preserve">Near DHA </t>
  </si>
  <si>
    <t>Nawa Killi</t>
  </si>
  <si>
    <t>First Stop</t>
  </si>
  <si>
    <t xml:space="preserve">Near FC Flats </t>
  </si>
  <si>
    <t>20x10</t>
  </si>
  <si>
    <t>Shahbaz Town</t>
  </si>
  <si>
    <t>Opposite Hot &amp; Chilli</t>
  </si>
  <si>
    <t>30x40</t>
  </si>
  <si>
    <t>Near Hot &amp; Chilli</t>
  </si>
  <si>
    <t>40x25</t>
  </si>
  <si>
    <t>Sariyab Bridge In</t>
  </si>
  <si>
    <t>Sariyab Road</t>
  </si>
  <si>
    <t>Sariyab Bridge out</t>
  </si>
  <si>
    <t>Sariyab Bridge Ravi</t>
  </si>
  <si>
    <t>Zarghoon Road</t>
  </si>
  <si>
    <t>Langove Plaza</t>
  </si>
  <si>
    <t>Doubble  Road</t>
  </si>
  <si>
    <t>Satellite Town</t>
  </si>
  <si>
    <t xml:space="preserve">QDA Park Vertical </t>
  </si>
  <si>
    <t>20x30</t>
  </si>
  <si>
    <t xml:space="preserve">QDA Park </t>
  </si>
  <si>
    <t xml:space="preserve">Benazir Flyover  </t>
  </si>
  <si>
    <t>Spini Road</t>
  </si>
  <si>
    <t>CPEC  Chowk</t>
  </si>
  <si>
    <t>Jabal e Noor</t>
  </si>
  <si>
    <t>Karachi Bus Stop</t>
  </si>
  <si>
    <t>Sabzal Chowk</t>
  </si>
  <si>
    <t>Regal Chowk</t>
  </si>
  <si>
    <t>Jinnah Road</t>
  </si>
  <si>
    <t>20x40</t>
  </si>
  <si>
    <t>Agha Siraj Complex</t>
  </si>
  <si>
    <t>Circular Road</t>
  </si>
  <si>
    <t xml:space="preserve">Mezan Chowk </t>
  </si>
  <si>
    <t>Mezan Chowk</t>
  </si>
  <si>
    <t xml:space="preserve">Mission Chowk </t>
  </si>
  <si>
    <t>Missin Road</t>
  </si>
  <si>
    <t>IGP Chowk</t>
  </si>
  <si>
    <t>Gulistan Road</t>
  </si>
  <si>
    <t>30x12</t>
  </si>
  <si>
    <t>Taxi Stand</t>
  </si>
  <si>
    <t xml:space="preserve">Sarena Chowk in </t>
  </si>
  <si>
    <t>Sarena Chowk Out</t>
  </si>
  <si>
    <t>BMC</t>
  </si>
  <si>
    <t>Near BMC</t>
  </si>
  <si>
    <t>Billboard Rental Summary Dashboard</t>
  </si>
  <si>
    <t>Total Billboards</t>
  </si>
  <si>
    <t>Status</t>
  </si>
  <si>
    <t>Count</t>
  </si>
  <si>
    <t>Total Rent (PKR)</t>
  </si>
  <si>
    <t>Active</t>
  </si>
  <si>
    <t>Total Advance (PKR)</t>
  </si>
  <si>
    <t>Expired</t>
  </si>
  <si>
    <t>Total Balance (PKR)</t>
  </si>
  <si>
    <t>Active Contracts</t>
  </si>
  <si>
    <t>Expired Contracts</t>
  </si>
  <si>
    <t>Metric</t>
  </si>
  <si>
    <t>Amount (PKR)</t>
  </si>
  <si>
    <t>Total Rent</t>
  </si>
  <si>
    <t>Total Advance</t>
  </si>
  <si>
    <t>Total Balance</t>
  </si>
  <si>
    <t>Instructions: Fill data in 'Billboard Rentals' sheet. Rows 2..500 have pre-set formulas.</t>
  </si>
  <si>
    <t>COPY DATE</t>
  </si>
  <si>
    <t>BTN</t>
  </si>
  <si>
    <t>Ufone Chowk 1111</t>
  </si>
  <si>
    <t>DATA FROM</t>
  </si>
  <si>
    <t>ex</t>
  </si>
  <si>
    <t>ex1</t>
  </si>
  <si>
    <t>ex2</t>
  </si>
  <si>
    <t>ex3</t>
  </si>
  <si>
    <t>From sheet: Billboard Rentals Row: 2</t>
  </si>
  <si>
    <t>From sheet: Billboard Rentals Row: 11</t>
  </si>
  <si>
    <t>From sheet: Billboard Rentals Row: 12</t>
  </si>
  <si>
    <t>From sheet: Billboard Rentals Row: 15</t>
  </si>
  <si>
    <t>From sheet: Billboard Rentals Row: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</si>
</sst>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\ mmm\ yyyy"/>
    <numFmt numFmtId="165" formatCode="mm/dd/yyyy"/>
  </numFmts>
  <fonts count="10">
    <font>
      <sz val="11"/>
      <color theme="1"/>
      <name val="Arial"/>
      <scheme val="minor"/>
    </font>
    <font>
      <sz val="11"/>
      <color theme="1"/>
      <name val="Arial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1F1F1F"/>
      <name val="&quot;Google Sans&quot;"/>
    </font>
    <font>
      <sz val="11"/>
      <color theme="1"/>
      <name val="Arial"/>
      <family val="2"/>
      <scheme val="minor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sz val="11"/>
      <color theme="0"/>
      <name val="Arial"/>
      <family val="2"/>
      <scheme val="minor"/>
    </font>
    <font>
      <b/>
      <sz val="8"/>
      <color rgb="FF000000"/>
      <name val="Bebas Neue Pro Exp Rg"/>
      <family val="2"/>
    </font>
  </fonts>
  <fills count="8">
    <fill>
      <patternFill patternType="none"/>
    </fill>
    <fill>
      <patternFill patternType="gray125"/>
    </fill>
    <fill>
      <patternFill patternType="solid">
        <fgColor rgb="FF9DC3E6"/>
        <bgColor rgb="FF9DC3E6"/>
      </patternFill>
    </fill>
    <fill>
      <patternFill patternType="solid">
        <fgColor rgb="FFD6EAF8"/>
        <bgColor rgb="FFD6EAF8"/>
      </patternFill>
    </fill>
    <fill>
      <patternFill patternType="solid">
        <fgColor rgb="FFE8E8E8"/>
        <bgColor rgb="FFE8E8E8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rgb="FF9DC3E6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2">
    <xf numFmtId="0" fontId="0" fillId="0" borderId="0" xfId="0" applyAlignment="1"/>
    <xf numFmtId="0" fontId="0" fillId="0" borderId="0" xfId="0"/>
    <xf numFmtId="0" fontId="3" fillId="3" borderId="1" xfId="0" applyFont="1" applyFill="1" applyBorder="1"/>
    <xf numFmtId="14" fontId="3" fillId="3" borderId="1" xfId="0" applyNumberFormat="1" applyFont="1" applyFill="1" applyBorder="1"/>
    <xf numFmtId="164" fontId="3" fillId="3" borderId="1" xfId="0" applyNumberFormat="1" applyFont="1" applyFill="1" applyBorder="1"/>
    <xf numFmtId="3" fontId="3" fillId="3" borderId="1" xfId="0" applyNumberFormat="1" applyFont="1" applyFill="1" applyBorder="1"/>
    <xf numFmtId="0" fontId="3" fillId="4" borderId="1" xfId="0" applyFont="1" applyFill="1" applyBorder="1"/>
    <xf numFmtId="14" fontId="3" fillId="4" borderId="1" xfId="0" applyNumberFormat="1" applyFont="1" applyFill="1" applyBorder="1"/>
    <xf numFmtId="164" fontId="3" fillId="4" borderId="1" xfId="0" applyNumberFormat="1" applyFont="1" applyFill="1" applyBorder="1"/>
    <xf numFmtId="165" fontId="3" fillId="4" borderId="1" xfId="0" applyNumberFormat="1" applyFont="1" applyFill="1" applyBorder="1"/>
    <xf numFmtId="3" fontId="3" fillId="4" borderId="1" xfId="0" applyNumberFormat="1" applyFont="1" applyFill="1" applyBorder="1"/>
    <xf numFmtId="0" fontId="4" fillId="4" borderId="0" xfId="0" applyFont="1" applyFill="1"/>
    <xf numFmtId="0" fontId="0" fillId="3" borderId="0" xfId="0" applyFill="1"/>
    <xf numFmtId="0" fontId="2" fillId="4" borderId="0" xfId="0" applyFont="1" applyFill="1" applyAlignment="1">
      <alignment horizontal="left"/>
    </xf>
    <xf numFmtId="0" fontId="3" fillId="4" borderId="0" xfId="0" applyFont="1" applyFill="1" applyAlignment="1">
      <alignment horizontal="center"/>
    </xf>
    <xf numFmtId="0" fontId="0" fillId="4" borderId="0" xfId="0" applyFill="1"/>
    <xf numFmtId="0" fontId="5" fillId="4" borderId="0" xfId="0" applyFont="1" applyFill="1"/>
    <xf numFmtId="0" fontId="2" fillId="3" borderId="0" xfId="0" applyFont="1" applyFill="1" applyAlignment="1">
      <alignment horizontal="left"/>
    </xf>
    <xf numFmtId="3" fontId="3" fillId="3" borderId="0" xfId="0" applyNumberFormat="1" applyFont="1" applyFill="1" applyAlignment="1">
      <alignment horizontal="center"/>
    </xf>
    <xf numFmtId="0" fontId="5" fillId="3" borderId="0" xfId="0" applyFont="1" applyFill="1"/>
    <xf numFmtId="3" fontId="5" fillId="3" borderId="0" xfId="0" applyNumberFormat="1" applyFont="1" applyFill="1"/>
    <xf numFmtId="0" fontId="3" fillId="3" borderId="0" xfId="0" applyFont="1" applyFill="1" applyAlignment="1">
      <alignment horizontal="center"/>
    </xf>
    <xf numFmtId="3" fontId="5" fillId="4" borderId="0" xfId="0" applyNumberFormat="1" applyFont="1" applyFill="1"/>
    <xf numFmtId="0" fontId="3" fillId="3" borderId="0" xfId="0" applyFont="1" applyFill="1" applyAlignment="1">
      <alignment wrapText="1"/>
    </xf>
    <xf numFmtId="0" fontId="7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3" fillId="3" borderId="3" xfId="0" applyFont="1" applyFill="1" applyBorder="1"/>
    <xf numFmtId="0" fontId="3" fillId="4" borderId="3" xfId="0" applyFont="1" applyFill="1" applyBorder="1"/>
    <xf numFmtId="0" fontId="3" fillId="3" borderId="4" xfId="0" applyFont="1" applyFill="1" applyBorder="1"/>
    <xf numFmtId="0" fontId="3" fillId="4" borderId="4" xfId="0" applyFont="1" applyFill="1" applyBorder="1"/>
    <xf numFmtId="0" fontId="7" fillId="5" borderId="5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3" fillId="3" borderId="2" xfId="0" applyFont="1" applyFill="1" applyBorder="1"/>
    <xf numFmtId="0" fontId="3" fillId="4" borderId="2" xfId="0" applyFont="1" applyFill="1" applyBorder="1"/>
    <xf numFmtId="0" fontId="0" fillId="0" borderId="2" xfId="0" applyBorder="1" applyAlignment="1"/>
    <xf numFmtId="0" fontId="3" fillId="0" borderId="2" xfId="0" applyFont="1" applyFill="1" applyBorder="1"/>
    <xf numFmtId="14" fontId="3" fillId="0" borderId="2" xfId="0" applyNumberFormat="1" applyFont="1" applyFill="1" applyBorder="1"/>
    <xf numFmtId="164" fontId="3" fillId="0" borderId="2" xfId="0" applyNumberFormat="1" applyFont="1" applyFill="1" applyBorder="1"/>
    <xf numFmtId="3" fontId="3" fillId="0" borderId="2" xfId="0" applyNumberFormat="1" applyFont="1" applyFill="1" applyBorder="1"/>
    <xf numFmtId="0" fontId="0" fillId="0" borderId="2" xfId="0" applyFill="1" applyBorder="1" applyAlignment="1"/>
    <xf numFmtId="0" fontId="4" fillId="0" borderId="2" xfId="0" applyFont="1" applyFill="1" applyBorder="1"/>
    <xf numFmtId="0" fontId="0" fillId="0" borderId="2" xfId="0" applyFill="1" applyBorder="1"/>
    <xf numFmtId="0" fontId="8" fillId="5" borderId="0" xfId="0" applyFont="1" applyFill="1" applyAlignment="1">
      <alignment horizontal="center" vertical="center"/>
    </xf>
    <xf numFmtId="22" fontId="3" fillId="0" borderId="2" xfId="0" applyNumberFormat="1" applyFont="1" applyFill="1" applyBorder="1"/>
    <xf numFmtId="0" fontId="7" fillId="5" borderId="2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/>
    <xf numFmtId="0" fontId="6" fillId="6" borderId="2" xfId="0" applyFont="1" applyFill="1" applyBorder="1" applyAlignment="1">
      <alignment horizontal="center" vertical="center" wrapText="1"/>
    </xf>
    <xf numFmtId="0" fontId="0" fillId="0" borderId="2" xfId="0" applyBorder="1"/>
    <xf numFmtId="165" fontId="3" fillId="0" borderId="2" xfId="0" applyNumberFormat="1" applyFont="1" applyFill="1" applyBorder="1"/>
    <xf numFmtId="0" fontId="6" fillId="2" borderId="0" xfId="0" applyFont="1" applyFill="1" applyAlignment="1">
      <alignment horizontal="center" vertical="center" wrapText="1"/>
    </xf>
    <xf numFmtId="0" fontId="0" fillId="0" borderId="0" xfId="0"/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lang="en-US" b="1" i="0">
                <a:solidFill>
                  <a:srgbClr val="757575"/>
                </a:solidFill>
                <a:latin typeface="+mn-lt"/>
              </a:rPr>
              <a:t>Active vs Expired Contracts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FF00FF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DF25-4202-8ACB-B596F2248099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F25-4202-8ACB-B596F2248099}"/>
              </c:ext>
            </c:extLst>
          </c:dPt>
          <c:cat>
            <c:strRef>
              <c:f>'Summary Dashboard'!$D$4:$D$5</c:f>
              <c:strCache>
                <c:ptCount val="2"/>
                <c:pt idx="0">
                  <c:v>Active</c:v>
                </c:pt>
                <c:pt idx="1">
                  <c:v>Expired</c:v>
                </c:pt>
              </c:strCache>
            </c:strRef>
          </c:cat>
          <c:val>
            <c:numRef>
              <c:f>'Summary Dashboard'!$E$4:$E$5</c:f>
              <c:numCache>
                <c:formatCode>General</c:formatCode>
                <c:ptCount val="2"/>
                <c:pt idx="0" formatCode="#,##0">
                  <c:v>225000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25-4202-8ACB-B596F2248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ur-PK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lang="en-US" b="1" i="0">
                <a:solidFill>
                  <a:srgbClr val="757575"/>
                </a:solidFill>
                <a:latin typeface="+mn-lt"/>
              </a:rPr>
              <a:t>Financial Overview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'Summary Dashboard'!$D$9:$D$11</c:f>
              <c:strCache>
                <c:ptCount val="3"/>
                <c:pt idx="0">
                  <c:v>Total Rent</c:v>
                </c:pt>
                <c:pt idx="1">
                  <c:v>Total Advance</c:v>
                </c:pt>
                <c:pt idx="2">
                  <c:v>Total Balance</c:v>
                </c:pt>
              </c:strCache>
            </c:strRef>
          </c:cat>
          <c:val>
            <c:numRef>
              <c:f>'Summary Dashboard'!$E$9:$E$11</c:f>
              <c:numCache>
                <c:formatCode>General</c:formatCode>
                <c:ptCount val="3"/>
                <c:pt idx="0" formatCode="#,##0">
                  <c:v>225000</c:v>
                </c:pt>
                <c:pt idx="1">
                  <c:v>0</c:v>
                </c:pt>
                <c:pt idx="2" formatCode="#,##0">
                  <c:v>225000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A-42D3-8034-9AC915CC8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620801"/>
        <c:axId val="613730537"/>
      </c:barChart>
      <c:catAx>
        <c:axId val="696208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ur-PK"/>
          </a:p>
        </c:txPr>
        <c:crossAx val="613730537"/>
        <c:crosses val="autoZero"/>
        <c:auto val="0"/>
        <c:lblAlgn val="ctr"/>
        <c:lblOffset val="100"/>
        <c:noMultiLvlLbl val="0"/>
      </c:catAx>
      <c:valAx>
        <c:axId val="6137305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layout/>
          <c:overlay val="0"/>
        </c:title>
        <c:numFmt formatCode="#,##0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ur-PK"/>
          </a:p>
        </c:txPr>
        <c:crossAx val="69620801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ur-PK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9525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1</xdr:col>
          <xdr:colOff>0</xdr:colOff>
          <xdr:row>20</xdr:row>
          <xdr:rowOff>190500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1</xdr:col>
          <xdr:colOff>0</xdr:colOff>
          <xdr:row>21</xdr:row>
          <xdr:rowOff>190500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1</xdr:col>
          <xdr:colOff>0</xdr:colOff>
          <xdr:row>22</xdr:row>
          <xdr:rowOff>190500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1</xdr:col>
          <xdr:colOff>0</xdr:colOff>
          <xdr:row>23</xdr:row>
          <xdr:rowOff>190500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1</xdr:col>
          <xdr:colOff>0</xdr:colOff>
          <xdr:row>24</xdr:row>
          <xdr:rowOff>190500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9525</xdr:rowOff>
        </xdr:from>
        <xdr:to>
          <xdr:col>1</xdr:col>
          <xdr:colOff>0</xdr:colOff>
          <xdr:row>25</xdr:row>
          <xdr:rowOff>190500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</xdr:col>
          <xdr:colOff>0</xdr:colOff>
          <xdr:row>26</xdr:row>
          <xdr:rowOff>190500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27</xdr:row>
          <xdr:rowOff>9525</xdr:rowOff>
        </xdr:from>
        <xdr:to>
          <xdr:col>1</xdr:col>
          <xdr:colOff>0</xdr:colOff>
          <xdr:row>27</xdr:row>
          <xdr:rowOff>190500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28</xdr:row>
          <xdr:rowOff>9525</xdr:rowOff>
        </xdr:from>
        <xdr:to>
          <xdr:col>1</xdr:col>
          <xdr:colOff>0</xdr:colOff>
          <xdr:row>28</xdr:row>
          <xdr:rowOff>190500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29</xdr:row>
          <xdr:rowOff>9525</xdr:rowOff>
        </xdr:from>
        <xdr:to>
          <xdr:col>1</xdr:col>
          <xdr:colOff>0</xdr:colOff>
          <xdr:row>29</xdr:row>
          <xdr:rowOff>190500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</xdr:row>
          <xdr:rowOff>9525</xdr:rowOff>
        </xdr:from>
        <xdr:to>
          <xdr:col>1</xdr:col>
          <xdr:colOff>0</xdr:colOff>
          <xdr:row>30</xdr:row>
          <xdr:rowOff>190500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31</xdr:row>
          <xdr:rowOff>9525</xdr:rowOff>
        </xdr:from>
        <xdr:to>
          <xdr:col>1</xdr:col>
          <xdr:colOff>0</xdr:colOff>
          <xdr:row>31</xdr:row>
          <xdr:rowOff>190500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32</xdr:row>
          <xdr:rowOff>9525</xdr:rowOff>
        </xdr:from>
        <xdr:to>
          <xdr:col>1</xdr:col>
          <xdr:colOff>0</xdr:colOff>
          <xdr:row>32</xdr:row>
          <xdr:rowOff>190500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33</xdr:row>
          <xdr:rowOff>9525</xdr:rowOff>
        </xdr:from>
        <xdr:to>
          <xdr:col>1</xdr:col>
          <xdr:colOff>0</xdr:colOff>
          <xdr:row>33</xdr:row>
          <xdr:rowOff>190500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34</xdr:row>
          <xdr:rowOff>9525</xdr:rowOff>
        </xdr:from>
        <xdr:to>
          <xdr:col>1</xdr:col>
          <xdr:colOff>0</xdr:colOff>
          <xdr:row>34</xdr:row>
          <xdr:rowOff>190500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35</xdr:row>
          <xdr:rowOff>9525</xdr:rowOff>
        </xdr:from>
        <xdr:to>
          <xdr:col>1</xdr:col>
          <xdr:colOff>0</xdr:colOff>
          <xdr:row>35</xdr:row>
          <xdr:rowOff>190500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36</xdr:row>
          <xdr:rowOff>9525</xdr:rowOff>
        </xdr:from>
        <xdr:to>
          <xdr:col>1</xdr:col>
          <xdr:colOff>0</xdr:colOff>
          <xdr:row>36</xdr:row>
          <xdr:rowOff>190500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37</xdr:row>
          <xdr:rowOff>9525</xdr:rowOff>
        </xdr:from>
        <xdr:to>
          <xdr:col>1</xdr:col>
          <xdr:colOff>0</xdr:colOff>
          <xdr:row>37</xdr:row>
          <xdr:rowOff>190500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9525</xdr:rowOff>
        </xdr:from>
        <xdr:to>
          <xdr:col>1</xdr:col>
          <xdr:colOff>0</xdr:colOff>
          <xdr:row>38</xdr:row>
          <xdr:rowOff>190500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39</xdr:row>
          <xdr:rowOff>9525</xdr:rowOff>
        </xdr:from>
        <xdr:to>
          <xdr:col>1</xdr:col>
          <xdr:colOff>0</xdr:colOff>
          <xdr:row>39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1</xdr:col>
          <xdr:colOff>0</xdr:colOff>
          <xdr:row>40</xdr:row>
          <xdr:rowOff>190500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9525</xdr:rowOff>
        </xdr:from>
        <xdr:to>
          <xdr:col>1</xdr:col>
          <xdr:colOff>0</xdr:colOff>
          <xdr:row>41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9525</xdr:rowOff>
        </xdr:from>
        <xdr:to>
          <xdr:col>1</xdr:col>
          <xdr:colOff>0</xdr:colOff>
          <xdr:row>42</xdr:row>
          <xdr:rowOff>190500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9525</xdr:rowOff>
        </xdr:from>
        <xdr:to>
          <xdr:col>1</xdr:col>
          <xdr:colOff>0</xdr:colOff>
          <xdr:row>43</xdr:row>
          <xdr:rowOff>190500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44</xdr:row>
          <xdr:rowOff>9525</xdr:rowOff>
        </xdr:from>
        <xdr:to>
          <xdr:col>1</xdr:col>
          <xdr:colOff>0</xdr:colOff>
          <xdr:row>44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45</xdr:row>
          <xdr:rowOff>9525</xdr:rowOff>
        </xdr:from>
        <xdr:to>
          <xdr:col>1</xdr:col>
          <xdr:colOff>0</xdr:colOff>
          <xdr:row>45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46</xdr:row>
          <xdr:rowOff>9525</xdr:rowOff>
        </xdr:from>
        <xdr:to>
          <xdr:col>1</xdr:col>
          <xdr:colOff>0</xdr:colOff>
          <xdr:row>46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47</xdr:row>
          <xdr:rowOff>9525</xdr:rowOff>
        </xdr:from>
        <xdr:to>
          <xdr:col>1</xdr:col>
          <xdr:colOff>0</xdr:colOff>
          <xdr:row>47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48</xdr:row>
          <xdr:rowOff>9525</xdr:rowOff>
        </xdr:from>
        <xdr:to>
          <xdr:col>1</xdr:col>
          <xdr:colOff>0</xdr:colOff>
          <xdr:row>48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49</xdr:row>
          <xdr:rowOff>9525</xdr:rowOff>
        </xdr:from>
        <xdr:to>
          <xdr:col>1</xdr:col>
          <xdr:colOff>0</xdr:colOff>
          <xdr:row>49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50</xdr:row>
          <xdr:rowOff>9525</xdr:rowOff>
        </xdr:from>
        <xdr:to>
          <xdr:col>1</xdr:col>
          <xdr:colOff>0</xdr:colOff>
          <xdr:row>50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BTN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Bebas Neue Pro Exp Rg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15</xdr:row>
      <xdr:rowOff>28575</xdr:rowOff>
    </xdr:from>
    <xdr:ext cx="4314825" cy="287655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6</xdr:col>
      <xdr:colOff>0</xdr:colOff>
      <xdr:row>9</xdr:row>
      <xdr:rowOff>0</xdr:rowOff>
    </xdr:from>
    <xdr:ext cx="5038725" cy="2876550"/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EFEFEF"/>
      </a:lt1>
      <a:dk2>
        <a:srgbClr val="000000"/>
      </a:dk2>
      <a:lt2>
        <a:srgbClr val="EFEFEF"/>
      </a:lt2>
      <a:accent1>
        <a:srgbClr val="FF00FF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601"/>
  <sheetViews>
    <sheetView tabSelected="1" topLeftCell="R1" zoomScaleNormal="100" workbookViewId="0">
      <pane ySplit="1" topLeftCell="A2" activePane="bottomLeft" state="frozen"/>
      <selection pane="bottomLeft" activeCell="AB2" sqref="AB2"/>
    </sheetView>
  </sheetViews>
  <sheetFormatPr defaultColWidth="12.625" defaultRowHeight="15" customHeight="1"/>
  <cols>
    <col min="1" max="1" width="6" customWidth="1"/>
    <col min="2" max="2" width="7" style="1" customWidth="1"/>
    <col min="3" max="3" width="15.75" style="1" customWidth="1"/>
    <col min="4" max="4" width="26.25" style="1" customWidth="1"/>
    <col min="5" max="5" width="10.5" style="1" customWidth="1"/>
    <col min="6" max="7" width="15.75" style="1" customWidth="1"/>
    <col min="8" max="8" width="12.25" style="1" customWidth="1"/>
    <col min="9" max="9" width="19.25" style="1" customWidth="1"/>
    <col min="10" max="11" width="13.125" style="1" customWidth="1"/>
    <col min="12" max="12" width="17.5" style="1" customWidth="1"/>
    <col min="13" max="13" width="13.125" style="1" customWidth="1"/>
    <col min="14" max="17" width="15.75" style="1" customWidth="1"/>
    <col min="18" max="18" width="10.5" style="1" customWidth="1"/>
    <col min="19" max="21" width="19.25" style="1" customWidth="1"/>
    <col min="22" max="22" width="12.875" style="1" customWidth="1"/>
    <col min="23" max="23" width="17" style="1" customWidth="1"/>
    <col min="24" max="24" width="28.875" style="1" customWidth="1"/>
    <col min="25" max="27" width="7.625" style="1" customWidth="1"/>
  </cols>
  <sheetData>
    <row r="1" spans="1:28" ht="50.1" customHeight="1">
      <c r="A1" s="42" t="s">
        <v>121</v>
      </c>
      <c r="B1" s="30" t="s">
        <v>0</v>
      </c>
      <c r="C1" s="24" t="s">
        <v>1</v>
      </c>
      <c r="D1" s="24" t="s">
        <v>2</v>
      </c>
      <c r="E1" s="24" t="s">
        <v>3</v>
      </c>
      <c r="F1" s="24" t="s">
        <v>4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  <c r="Q1" s="24" t="s">
        <v>15</v>
      </c>
      <c r="R1" s="24" t="s">
        <v>16</v>
      </c>
      <c r="S1" s="24" t="s">
        <v>17</v>
      </c>
      <c r="T1" s="24" t="s">
        <v>18</v>
      </c>
      <c r="U1" s="30" t="s">
        <v>19</v>
      </c>
      <c r="V1" s="31" t="s">
        <v>20</v>
      </c>
      <c r="W1" s="25" t="s">
        <v>124</v>
      </c>
      <c r="X1" s="25" t="s">
        <v>21</v>
      </c>
      <c r="Y1" s="25" t="s">
        <v>125</v>
      </c>
      <c r="Z1" s="25" t="s">
        <v>126</v>
      </c>
      <c r="AA1" s="25" t="s">
        <v>127</v>
      </c>
      <c r="AB1" s="25" t="s">
        <v>127</v>
      </c>
    </row>
    <row r="2" spans="1:28">
      <c r="A2" s="46"/>
      <c r="B2" s="32">
        <v>1</v>
      </c>
      <c r="C2" s="28" t="s">
        <v>22</v>
      </c>
      <c r="D2" s="2" t="s">
        <v>23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27</v>
      </c>
      <c r="J2" s="3">
        <v>45961</v>
      </c>
      <c r="K2" s="4">
        <v>45975</v>
      </c>
      <c r="L2" s="2" t="s">
        <v>28</v>
      </c>
      <c r="M2" s="5">
        <v>125000</v>
      </c>
      <c r="N2" s="2"/>
      <c r="O2" s="5">
        <f t="shared" ref="O2:O33" si="0">M2-N2</f>
        <v>125000</v>
      </c>
      <c r="P2" s="2" t="s">
        <v>29</v>
      </c>
      <c r="Q2" s="2" t="str">
        <f t="shared" ref="Q2:Q33" ca="1" si="1">IF(K2&gt;=TODAY(),"Active","Expired")</f>
        <v>Active</v>
      </c>
      <c r="R2" s="2">
        <f t="shared" ref="R2:R33" ca="1" si="2">IF(K2&gt;=TODAY(),K2-TODAY(),0)</f>
        <v>1</v>
      </c>
      <c r="S2" s="2"/>
      <c r="T2" s="26"/>
      <c r="U2" s="2" t="s">
        <v>30</v>
      </c>
      <c r="V2" s="32"/>
      <c r="W2" s="28"/>
      <c r="X2" s="2"/>
      <c r="Y2" s="2"/>
      <c r="Z2" s="2"/>
      <c r="AA2" s="2"/>
      <c r="AB2" s="2"/>
    </row>
    <row r="3" spans="1:28">
      <c r="A3" s="34"/>
      <c r="B3" s="33">
        <f t="shared" ref="B3:B34" si="3">ROW()-1</f>
        <v>2</v>
      </c>
      <c r="C3" s="29" t="s">
        <v>31</v>
      </c>
      <c r="D3" s="6" t="s">
        <v>122</v>
      </c>
      <c r="E3" s="6" t="s">
        <v>24</v>
      </c>
      <c r="F3" s="6"/>
      <c r="G3" s="6"/>
      <c r="H3" s="6"/>
      <c r="I3" s="6"/>
      <c r="J3" s="7"/>
      <c r="K3" s="8"/>
      <c r="L3" s="6"/>
      <c r="M3" s="6"/>
      <c r="N3" s="6"/>
      <c r="O3" s="6">
        <f t="shared" si="0"/>
        <v>0</v>
      </c>
      <c r="P3" s="6"/>
      <c r="Q3" s="6" t="str">
        <f t="shared" ca="1" si="1"/>
        <v>Expired</v>
      </c>
      <c r="R3" s="6">
        <f t="shared" ca="1" si="2"/>
        <v>0</v>
      </c>
      <c r="S3" s="6"/>
      <c r="T3" s="27"/>
      <c r="U3" s="33"/>
      <c r="V3" s="33"/>
      <c r="W3" s="29"/>
      <c r="X3" s="6"/>
      <c r="Y3" s="6"/>
      <c r="Z3" s="6"/>
      <c r="AA3" s="6"/>
      <c r="AB3" s="6"/>
    </row>
    <row r="4" spans="1:28">
      <c r="A4" s="34"/>
      <c r="B4" s="32">
        <f t="shared" si="3"/>
        <v>3</v>
      </c>
      <c r="C4" s="28" t="s">
        <v>32</v>
      </c>
      <c r="D4" s="2" t="s">
        <v>23</v>
      </c>
      <c r="E4" s="2" t="s">
        <v>24</v>
      </c>
      <c r="F4" s="2"/>
      <c r="G4" s="2"/>
      <c r="H4" s="2"/>
      <c r="I4" s="2"/>
      <c r="J4" s="2"/>
      <c r="K4" s="2"/>
      <c r="L4" s="2"/>
      <c r="M4" s="2"/>
      <c r="N4" s="2"/>
      <c r="O4" s="2">
        <f t="shared" si="0"/>
        <v>0</v>
      </c>
      <c r="P4" s="2"/>
      <c r="Q4" s="2" t="str">
        <f t="shared" ca="1" si="1"/>
        <v>Expired</v>
      </c>
      <c r="R4" s="2">
        <f t="shared" ca="1" si="2"/>
        <v>0</v>
      </c>
      <c r="S4" s="2"/>
      <c r="T4" s="26"/>
      <c r="U4" s="32"/>
      <c r="V4" s="32"/>
      <c r="W4" s="28"/>
      <c r="X4" s="2"/>
      <c r="Y4" s="2"/>
      <c r="Z4" s="2"/>
      <c r="AA4" s="2"/>
      <c r="AB4" s="2"/>
    </row>
    <row r="5" spans="1:28">
      <c r="A5" s="34"/>
      <c r="B5" s="33">
        <f t="shared" si="3"/>
        <v>4</v>
      </c>
      <c r="C5" s="29" t="s">
        <v>33</v>
      </c>
      <c r="D5" s="6" t="s">
        <v>23</v>
      </c>
      <c r="E5" s="6" t="s">
        <v>34</v>
      </c>
      <c r="F5" s="6" t="s">
        <v>35</v>
      </c>
      <c r="G5" s="6" t="s">
        <v>36</v>
      </c>
      <c r="H5" s="6" t="s">
        <v>27</v>
      </c>
      <c r="I5" s="6" t="s">
        <v>27</v>
      </c>
      <c r="J5" s="9">
        <v>45668</v>
      </c>
      <c r="K5" s="8">
        <v>45991</v>
      </c>
      <c r="L5" s="6" t="s">
        <v>37</v>
      </c>
      <c r="M5" s="10">
        <v>100000</v>
      </c>
      <c r="N5" s="6"/>
      <c r="O5" s="10">
        <f t="shared" si="0"/>
        <v>100000</v>
      </c>
      <c r="P5" s="6" t="s">
        <v>38</v>
      </c>
      <c r="Q5" s="6" t="str">
        <f t="shared" ca="1" si="1"/>
        <v>Active</v>
      </c>
      <c r="R5" s="6">
        <f t="shared" ca="1" si="2"/>
        <v>17</v>
      </c>
      <c r="S5" s="6"/>
      <c r="T5" s="27"/>
      <c r="U5" s="33"/>
      <c r="V5" s="33"/>
      <c r="W5" s="29"/>
      <c r="X5" s="6"/>
      <c r="Y5" s="6"/>
      <c r="Z5" s="6"/>
      <c r="AA5" s="6"/>
      <c r="AB5" s="6"/>
    </row>
    <row r="6" spans="1:28">
      <c r="A6" s="34"/>
      <c r="B6" s="32">
        <f t="shared" si="3"/>
        <v>5</v>
      </c>
      <c r="C6" s="28" t="s">
        <v>39</v>
      </c>
      <c r="D6" s="2" t="s">
        <v>23</v>
      </c>
      <c r="E6" s="2" t="s">
        <v>40</v>
      </c>
      <c r="F6" s="2"/>
      <c r="G6" s="2"/>
      <c r="H6" s="2"/>
      <c r="I6" s="2"/>
      <c r="J6" s="2"/>
      <c r="K6" s="2"/>
      <c r="L6" s="2"/>
      <c r="M6" s="2"/>
      <c r="N6" s="2"/>
      <c r="O6" s="2">
        <f t="shared" si="0"/>
        <v>0</v>
      </c>
      <c r="P6" s="2"/>
      <c r="Q6" s="2" t="str">
        <f t="shared" ca="1" si="1"/>
        <v>Expired</v>
      </c>
      <c r="R6" s="2">
        <f t="shared" ca="1" si="2"/>
        <v>0</v>
      </c>
      <c r="S6" s="2"/>
      <c r="T6" s="26"/>
      <c r="U6" s="32"/>
      <c r="V6" s="32"/>
      <c r="W6" s="28"/>
      <c r="X6" s="2"/>
      <c r="Y6" s="2"/>
      <c r="Z6" s="2"/>
      <c r="AA6" s="2"/>
      <c r="AB6" s="2"/>
    </row>
    <row r="7" spans="1:28">
      <c r="A7" s="34"/>
      <c r="B7" s="33">
        <f t="shared" si="3"/>
        <v>6</v>
      </c>
      <c r="C7" s="11" t="s">
        <v>41</v>
      </c>
      <c r="D7" s="6" t="s">
        <v>42</v>
      </c>
      <c r="E7" s="6" t="s">
        <v>34</v>
      </c>
      <c r="F7" s="6"/>
      <c r="G7" s="6"/>
      <c r="H7" s="6"/>
      <c r="I7" s="6"/>
      <c r="J7" s="6"/>
      <c r="K7" s="6"/>
      <c r="L7" s="6"/>
      <c r="M7" s="6"/>
      <c r="N7" s="6"/>
      <c r="O7" s="6">
        <f t="shared" si="0"/>
        <v>0</v>
      </c>
      <c r="P7" s="6"/>
      <c r="Q7" s="6" t="str">
        <f t="shared" ca="1" si="1"/>
        <v>Expired</v>
      </c>
      <c r="R7" s="6">
        <f t="shared" ca="1" si="2"/>
        <v>0</v>
      </c>
      <c r="S7" s="6"/>
      <c r="T7" s="27"/>
      <c r="U7" s="33"/>
      <c r="V7" s="33"/>
      <c r="W7" s="29"/>
      <c r="X7" s="6"/>
      <c r="Y7" s="6"/>
      <c r="Z7" s="6"/>
      <c r="AA7" s="6"/>
      <c r="AB7" s="6"/>
    </row>
    <row r="8" spans="1:28">
      <c r="A8" s="34"/>
      <c r="B8" s="32">
        <f t="shared" si="3"/>
        <v>7</v>
      </c>
      <c r="C8" s="28" t="s">
        <v>43</v>
      </c>
      <c r="D8" s="2" t="s">
        <v>44</v>
      </c>
      <c r="E8" s="2" t="s">
        <v>34</v>
      </c>
      <c r="F8" s="2"/>
      <c r="G8" s="2"/>
      <c r="H8" s="2"/>
      <c r="I8" s="2"/>
      <c r="J8" s="2"/>
      <c r="K8" s="2"/>
      <c r="L8" s="2"/>
      <c r="M8" s="2"/>
      <c r="N8" s="2"/>
      <c r="O8" s="2">
        <f t="shared" si="0"/>
        <v>0</v>
      </c>
      <c r="P8" s="2"/>
      <c r="Q8" s="2" t="str">
        <f t="shared" ca="1" si="1"/>
        <v>Expired</v>
      </c>
      <c r="R8" s="2">
        <f t="shared" ca="1" si="2"/>
        <v>0</v>
      </c>
      <c r="S8" s="2"/>
      <c r="T8" s="26"/>
      <c r="U8" s="32"/>
      <c r="V8" s="32"/>
      <c r="W8" s="28"/>
      <c r="X8" s="2"/>
      <c r="Y8" s="2"/>
      <c r="Z8" s="2"/>
      <c r="AA8" s="2"/>
      <c r="AB8" s="2"/>
    </row>
    <row r="9" spans="1:28">
      <c r="A9" s="34"/>
      <c r="B9" s="33">
        <f t="shared" si="3"/>
        <v>8</v>
      </c>
      <c r="C9" s="29" t="s">
        <v>45</v>
      </c>
      <c r="D9" s="6" t="s">
        <v>44</v>
      </c>
      <c r="E9" s="6" t="s">
        <v>24</v>
      </c>
      <c r="F9" s="6"/>
      <c r="G9" s="6"/>
      <c r="H9" s="6"/>
      <c r="I9" s="6"/>
      <c r="J9" s="6"/>
      <c r="K9" s="6"/>
      <c r="L9" s="6"/>
      <c r="M9" s="6"/>
      <c r="N9" s="6"/>
      <c r="O9" s="6">
        <f t="shared" si="0"/>
        <v>0</v>
      </c>
      <c r="P9" s="6"/>
      <c r="Q9" s="6" t="str">
        <f t="shared" ca="1" si="1"/>
        <v>Expired</v>
      </c>
      <c r="R9" s="6">
        <f t="shared" ca="1" si="2"/>
        <v>0</v>
      </c>
      <c r="S9" s="6"/>
      <c r="T9" s="27"/>
      <c r="U9" s="33"/>
      <c r="V9" s="33"/>
      <c r="W9" s="29"/>
      <c r="X9" s="6"/>
      <c r="Y9" s="6"/>
      <c r="Z9" s="6"/>
      <c r="AA9" s="6"/>
      <c r="AB9" s="6"/>
    </row>
    <row r="10" spans="1:28">
      <c r="A10" s="34"/>
      <c r="B10" s="32">
        <f t="shared" si="3"/>
        <v>9</v>
      </c>
      <c r="C10" s="28" t="s">
        <v>46</v>
      </c>
      <c r="D10" s="2" t="s">
        <v>47</v>
      </c>
      <c r="E10" s="2" t="s">
        <v>24</v>
      </c>
      <c r="F10" s="2"/>
      <c r="G10" s="2"/>
      <c r="H10" s="2"/>
      <c r="I10" s="2"/>
      <c r="J10" s="2"/>
      <c r="K10" s="2"/>
      <c r="L10" s="2"/>
      <c r="M10" s="2"/>
      <c r="N10" s="2"/>
      <c r="O10" s="2">
        <f t="shared" si="0"/>
        <v>0</v>
      </c>
      <c r="P10" s="2"/>
      <c r="Q10" s="2" t="str">
        <f t="shared" ca="1" si="1"/>
        <v>Expired</v>
      </c>
      <c r="R10" s="2">
        <f t="shared" ca="1" si="2"/>
        <v>0</v>
      </c>
      <c r="S10" s="2"/>
      <c r="T10" s="26"/>
      <c r="U10" s="32"/>
      <c r="V10" s="32"/>
      <c r="W10" s="28"/>
      <c r="X10" s="2"/>
      <c r="Y10" s="2"/>
      <c r="Z10" s="2"/>
      <c r="AA10" s="2"/>
      <c r="AB10" s="2"/>
    </row>
    <row r="11" spans="1:28">
      <c r="A11" s="34"/>
      <c r="B11" s="33">
        <f t="shared" si="3"/>
        <v>10</v>
      </c>
      <c r="C11" s="29" t="s">
        <v>48</v>
      </c>
      <c r="D11" s="6" t="s">
        <v>47</v>
      </c>
      <c r="E11" s="6" t="s">
        <v>24</v>
      </c>
      <c r="F11" s="6"/>
      <c r="G11" s="6"/>
      <c r="H11" s="6"/>
      <c r="I11" s="6"/>
      <c r="J11" s="6"/>
      <c r="K11" s="6"/>
      <c r="L11" s="6"/>
      <c r="M11" s="6"/>
      <c r="N11" s="6"/>
      <c r="O11" s="6">
        <f t="shared" si="0"/>
        <v>0</v>
      </c>
      <c r="P11" s="6"/>
      <c r="Q11" s="6" t="str">
        <f t="shared" ca="1" si="1"/>
        <v>Expired</v>
      </c>
      <c r="R11" s="6">
        <f t="shared" ca="1" si="2"/>
        <v>0</v>
      </c>
      <c r="S11" s="6"/>
      <c r="T11" s="27"/>
      <c r="U11" s="33"/>
      <c r="V11" s="33"/>
      <c r="W11" s="29"/>
      <c r="X11" s="6"/>
      <c r="Y11" s="6"/>
      <c r="Z11" s="6"/>
      <c r="AA11" s="6"/>
      <c r="AB11" s="6"/>
    </row>
    <row r="12" spans="1:28">
      <c r="A12" s="34"/>
      <c r="B12" s="32">
        <f t="shared" si="3"/>
        <v>11</v>
      </c>
      <c r="C12" s="28" t="s">
        <v>49</v>
      </c>
      <c r="D12" s="2" t="s">
        <v>47</v>
      </c>
      <c r="E12" s="2" t="s">
        <v>24</v>
      </c>
      <c r="F12" s="2"/>
      <c r="G12" s="2"/>
      <c r="H12" s="2"/>
      <c r="I12" s="2"/>
      <c r="J12" s="2"/>
      <c r="K12" s="2"/>
      <c r="L12" s="2"/>
      <c r="M12" s="2"/>
      <c r="N12" s="2"/>
      <c r="O12" s="2">
        <f t="shared" si="0"/>
        <v>0</v>
      </c>
      <c r="P12" s="2"/>
      <c r="Q12" s="2" t="str">
        <f t="shared" ca="1" si="1"/>
        <v>Expired</v>
      </c>
      <c r="R12" s="2">
        <f t="shared" ca="1" si="2"/>
        <v>0</v>
      </c>
      <c r="S12" s="2"/>
      <c r="T12" s="26"/>
      <c r="U12" s="32"/>
      <c r="V12" s="32"/>
      <c r="W12" s="28"/>
      <c r="X12" s="2"/>
      <c r="Y12" s="2"/>
      <c r="Z12" s="2"/>
      <c r="AA12" s="2"/>
      <c r="AB12" s="2"/>
    </row>
    <row r="13" spans="1:28">
      <c r="A13" s="34"/>
      <c r="B13" s="33">
        <f t="shared" si="3"/>
        <v>12</v>
      </c>
      <c r="C13" s="29" t="s">
        <v>50</v>
      </c>
      <c r="D13" s="6" t="s">
        <v>51</v>
      </c>
      <c r="E13" s="6" t="s">
        <v>52</v>
      </c>
      <c r="F13" s="6"/>
      <c r="G13" s="6"/>
      <c r="H13" s="6"/>
      <c r="I13" s="6"/>
      <c r="J13" s="6"/>
      <c r="K13" s="6"/>
      <c r="L13" s="6"/>
      <c r="M13" s="6"/>
      <c r="N13" s="6"/>
      <c r="O13" s="6">
        <f t="shared" si="0"/>
        <v>0</v>
      </c>
      <c r="P13" s="6"/>
      <c r="Q13" s="6" t="str">
        <f t="shared" ca="1" si="1"/>
        <v>Expired</v>
      </c>
      <c r="R13" s="6">
        <f t="shared" ca="1" si="2"/>
        <v>0</v>
      </c>
      <c r="S13" s="6"/>
      <c r="T13" s="27"/>
      <c r="U13" s="33"/>
      <c r="V13" s="33"/>
      <c r="W13" s="29"/>
      <c r="X13" s="6"/>
      <c r="Y13" s="6"/>
      <c r="Z13" s="6"/>
      <c r="AA13" s="6"/>
      <c r="AB13" s="6"/>
    </row>
    <row r="14" spans="1:28">
      <c r="A14" s="34"/>
      <c r="B14" s="32">
        <f t="shared" si="3"/>
        <v>13</v>
      </c>
      <c r="C14" s="28" t="s">
        <v>53</v>
      </c>
      <c r="D14" s="2" t="s">
        <v>47</v>
      </c>
      <c r="E14" s="2" t="s">
        <v>24</v>
      </c>
      <c r="F14" s="2"/>
      <c r="G14" s="2"/>
      <c r="H14" s="2"/>
      <c r="I14" s="2"/>
      <c r="J14" s="2"/>
      <c r="K14" s="2"/>
      <c r="L14" s="2"/>
      <c r="M14" s="2"/>
      <c r="N14" s="2"/>
      <c r="O14" s="2">
        <f t="shared" si="0"/>
        <v>0</v>
      </c>
      <c r="P14" s="2"/>
      <c r="Q14" s="2" t="str">
        <f t="shared" ca="1" si="1"/>
        <v>Expired</v>
      </c>
      <c r="R14" s="2">
        <f t="shared" ca="1" si="2"/>
        <v>0</v>
      </c>
      <c r="S14" s="2"/>
      <c r="T14" s="26"/>
      <c r="U14" s="32"/>
      <c r="V14" s="32"/>
      <c r="W14" s="28"/>
      <c r="X14" s="2"/>
      <c r="Y14" s="2"/>
      <c r="Z14" s="2"/>
      <c r="AA14" s="2"/>
      <c r="AB14" s="2"/>
    </row>
    <row r="15" spans="1:28">
      <c r="A15" s="34"/>
      <c r="B15" s="33">
        <f t="shared" si="3"/>
        <v>14</v>
      </c>
      <c r="C15" s="29" t="s">
        <v>53</v>
      </c>
      <c r="D15" s="6" t="s">
        <v>47</v>
      </c>
      <c r="E15" s="6" t="s">
        <v>54</v>
      </c>
      <c r="F15" s="6"/>
      <c r="G15" s="6"/>
      <c r="H15" s="6"/>
      <c r="I15" s="6"/>
      <c r="J15" s="6"/>
      <c r="K15" s="6"/>
      <c r="L15" s="6"/>
      <c r="M15" s="6"/>
      <c r="N15" s="6"/>
      <c r="O15" s="6">
        <f t="shared" si="0"/>
        <v>0</v>
      </c>
      <c r="P15" s="6"/>
      <c r="Q15" s="6" t="str">
        <f t="shared" ca="1" si="1"/>
        <v>Expired</v>
      </c>
      <c r="R15" s="6">
        <f t="shared" ca="1" si="2"/>
        <v>0</v>
      </c>
      <c r="S15" s="6"/>
      <c r="T15" s="27"/>
      <c r="U15" s="33"/>
      <c r="V15" s="33"/>
      <c r="W15" s="29"/>
      <c r="X15" s="6"/>
      <c r="Y15" s="6"/>
      <c r="Z15" s="6"/>
      <c r="AA15" s="6"/>
      <c r="AB15" s="6"/>
    </row>
    <row r="16" spans="1:28">
      <c r="A16" s="34"/>
      <c r="B16" s="32">
        <f t="shared" si="3"/>
        <v>15</v>
      </c>
      <c r="C16" s="28" t="s">
        <v>55</v>
      </c>
      <c r="D16" s="2" t="s">
        <v>47</v>
      </c>
      <c r="E16" s="2" t="s">
        <v>24</v>
      </c>
      <c r="F16" s="2"/>
      <c r="G16" s="2"/>
      <c r="H16" s="2"/>
      <c r="I16" s="2"/>
      <c r="J16" s="2"/>
      <c r="K16" s="2"/>
      <c r="L16" s="2"/>
      <c r="M16" s="2"/>
      <c r="N16" s="2"/>
      <c r="O16" s="2">
        <f t="shared" si="0"/>
        <v>0</v>
      </c>
      <c r="P16" s="2"/>
      <c r="Q16" s="2" t="str">
        <f t="shared" ca="1" si="1"/>
        <v>Expired</v>
      </c>
      <c r="R16" s="2">
        <f t="shared" ca="1" si="2"/>
        <v>0</v>
      </c>
      <c r="S16" s="2"/>
      <c r="T16" s="26"/>
      <c r="U16" s="32"/>
      <c r="V16" s="32"/>
      <c r="W16" s="28"/>
      <c r="X16" s="2"/>
      <c r="Y16" s="2"/>
      <c r="Z16" s="2"/>
      <c r="AA16" s="2"/>
      <c r="AB16" s="2"/>
    </row>
    <row r="17" spans="1:28">
      <c r="A17" s="34"/>
      <c r="B17" s="33">
        <f t="shared" si="3"/>
        <v>16</v>
      </c>
      <c r="C17" s="29" t="s">
        <v>56</v>
      </c>
      <c r="D17" s="6" t="s">
        <v>47</v>
      </c>
      <c r="E17" s="6" t="s">
        <v>24</v>
      </c>
      <c r="F17" s="6"/>
      <c r="G17" s="6"/>
      <c r="H17" s="6"/>
      <c r="I17" s="6"/>
      <c r="J17" s="6"/>
      <c r="K17" s="6"/>
      <c r="L17" s="6"/>
      <c r="M17" s="6"/>
      <c r="N17" s="6"/>
      <c r="O17" s="6">
        <f t="shared" si="0"/>
        <v>0</v>
      </c>
      <c r="P17" s="6"/>
      <c r="Q17" s="6" t="str">
        <f t="shared" ca="1" si="1"/>
        <v>Expired</v>
      </c>
      <c r="R17" s="6">
        <f t="shared" ca="1" si="2"/>
        <v>0</v>
      </c>
      <c r="S17" s="6"/>
      <c r="T17" s="27"/>
      <c r="U17" s="33"/>
      <c r="V17" s="33"/>
      <c r="W17" s="29"/>
      <c r="X17" s="6"/>
      <c r="Y17" s="6"/>
      <c r="Z17" s="6"/>
      <c r="AA17" s="6"/>
      <c r="AB17" s="6"/>
    </row>
    <row r="18" spans="1:28">
      <c r="A18" s="34"/>
      <c r="B18" s="32">
        <f t="shared" si="3"/>
        <v>17</v>
      </c>
      <c r="C18" s="28" t="s">
        <v>53</v>
      </c>
      <c r="D18" s="2" t="s">
        <v>47</v>
      </c>
      <c r="E18" s="2" t="s">
        <v>57</v>
      </c>
      <c r="F18" s="2"/>
      <c r="G18" s="2"/>
      <c r="H18" s="2"/>
      <c r="I18" s="2"/>
      <c r="J18" s="2"/>
      <c r="K18" s="2"/>
      <c r="L18" s="2"/>
      <c r="M18" s="2"/>
      <c r="N18" s="2"/>
      <c r="O18" s="2">
        <f t="shared" si="0"/>
        <v>0</v>
      </c>
      <c r="P18" s="2"/>
      <c r="Q18" s="2" t="str">
        <f t="shared" ca="1" si="1"/>
        <v>Expired</v>
      </c>
      <c r="R18" s="2">
        <f t="shared" ca="1" si="2"/>
        <v>0</v>
      </c>
      <c r="S18" s="2"/>
      <c r="T18" s="26"/>
      <c r="U18" s="32"/>
      <c r="V18" s="32"/>
      <c r="W18" s="28"/>
      <c r="X18" s="2"/>
      <c r="Y18" s="2"/>
      <c r="Z18" s="2"/>
      <c r="AA18" s="2"/>
      <c r="AB18" s="2"/>
    </row>
    <row r="19" spans="1:28">
      <c r="A19" s="34"/>
      <c r="B19" s="33">
        <f t="shared" si="3"/>
        <v>18</v>
      </c>
      <c r="C19" s="29" t="s">
        <v>58</v>
      </c>
      <c r="D19" s="6" t="s">
        <v>59</v>
      </c>
      <c r="E19" s="6" t="s">
        <v>24</v>
      </c>
      <c r="F19" s="6"/>
      <c r="G19" s="6"/>
      <c r="H19" s="6"/>
      <c r="I19" s="6"/>
      <c r="J19" s="6"/>
      <c r="K19" s="6"/>
      <c r="L19" s="6"/>
      <c r="M19" s="6"/>
      <c r="N19" s="6"/>
      <c r="O19" s="6">
        <f t="shared" si="0"/>
        <v>0</v>
      </c>
      <c r="P19" s="6"/>
      <c r="Q19" s="6" t="str">
        <f t="shared" ca="1" si="1"/>
        <v>Expired</v>
      </c>
      <c r="R19" s="6">
        <f t="shared" ca="1" si="2"/>
        <v>0</v>
      </c>
      <c r="S19" s="6"/>
      <c r="T19" s="27"/>
      <c r="U19" s="33"/>
      <c r="V19" s="33"/>
      <c r="W19" s="29"/>
      <c r="X19" s="6"/>
      <c r="Y19" s="6"/>
      <c r="Z19" s="6"/>
      <c r="AA19" s="6"/>
      <c r="AB19" s="6"/>
    </row>
    <row r="20" spans="1:28">
      <c r="A20" s="34"/>
      <c r="B20" s="32">
        <f t="shared" si="3"/>
        <v>19</v>
      </c>
      <c r="C20" s="28" t="s">
        <v>60</v>
      </c>
      <c r="D20" s="2" t="s">
        <v>61</v>
      </c>
      <c r="E20" s="2" t="s">
        <v>24</v>
      </c>
      <c r="F20" s="2"/>
      <c r="G20" s="2"/>
      <c r="H20" s="2"/>
      <c r="I20" s="2"/>
      <c r="J20" s="2"/>
      <c r="K20" s="2"/>
      <c r="L20" s="2"/>
      <c r="M20" s="2"/>
      <c r="N20" s="2"/>
      <c r="O20" s="2">
        <f t="shared" si="0"/>
        <v>0</v>
      </c>
      <c r="P20" s="2"/>
      <c r="Q20" s="2" t="str">
        <f t="shared" ca="1" si="1"/>
        <v>Expired</v>
      </c>
      <c r="R20" s="2">
        <f t="shared" ca="1" si="2"/>
        <v>0</v>
      </c>
      <c r="S20" s="2"/>
      <c r="T20" s="26"/>
      <c r="U20" s="32"/>
      <c r="V20" s="32"/>
      <c r="W20" s="28"/>
      <c r="X20" s="2"/>
      <c r="Y20" s="2"/>
      <c r="Z20" s="2"/>
      <c r="AA20" s="2"/>
      <c r="AB20" s="2"/>
    </row>
    <row r="21" spans="1:28" ht="15.75" customHeight="1">
      <c r="A21" s="34"/>
      <c r="B21" s="33">
        <f t="shared" si="3"/>
        <v>20</v>
      </c>
      <c r="C21" s="29" t="s">
        <v>60</v>
      </c>
      <c r="D21" s="6" t="s">
        <v>61</v>
      </c>
      <c r="E21" s="6" t="s">
        <v>34</v>
      </c>
      <c r="F21" s="6"/>
      <c r="G21" s="6"/>
      <c r="H21" s="6"/>
      <c r="I21" s="6"/>
      <c r="J21" s="6"/>
      <c r="K21" s="6"/>
      <c r="L21" s="6"/>
      <c r="M21" s="6"/>
      <c r="N21" s="6"/>
      <c r="O21" s="6">
        <f t="shared" si="0"/>
        <v>0</v>
      </c>
      <c r="P21" s="6"/>
      <c r="Q21" s="6" t="str">
        <f t="shared" ca="1" si="1"/>
        <v>Expired</v>
      </c>
      <c r="R21" s="6">
        <f t="shared" ca="1" si="2"/>
        <v>0</v>
      </c>
      <c r="S21" s="6"/>
      <c r="T21" s="27"/>
      <c r="U21" s="33"/>
      <c r="V21" s="33"/>
      <c r="W21" s="29"/>
      <c r="X21" s="6"/>
      <c r="Y21" s="6"/>
      <c r="Z21" s="6"/>
      <c r="AA21" s="6"/>
      <c r="AB21" s="6"/>
    </row>
    <row r="22" spans="1:28" ht="15.75" customHeight="1">
      <c r="A22" s="34"/>
      <c r="B22" s="32">
        <f t="shared" si="3"/>
        <v>21</v>
      </c>
      <c r="C22" s="28" t="s">
        <v>60</v>
      </c>
      <c r="D22" s="2" t="s">
        <v>62</v>
      </c>
      <c r="E22" s="2" t="s">
        <v>63</v>
      </c>
      <c r="F22" s="2"/>
      <c r="G22" s="2"/>
      <c r="H22" s="2"/>
      <c r="I22" s="2"/>
      <c r="J22" s="2"/>
      <c r="K22" s="2"/>
      <c r="L22" s="2"/>
      <c r="M22" s="2"/>
      <c r="N22" s="2"/>
      <c r="O22" s="2">
        <f t="shared" si="0"/>
        <v>0</v>
      </c>
      <c r="P22" s="2"/>
      <c r="Q22" s="2" t="str">
        <f t="shared" ca="1" si="1"/>
        <v>Expired</v>
      </c>
      <c r="R22" s="2">
        <f t="shared" ca="1" si="2"/>
        <v>0</v>
      </c>
      <c r="S22" s="2"/>
      <c r="T22" s="26"/>
      <c r="U22" s="32"/>
      <c r="V22" s="32"/>
      <c r="W22" s="28"/>
      <c r="X22" s="2"/>
      <c r="Y22" s="2"/>
      <c r="Z22" s="2"/>
      <c r="AA22" s="2"/>
      <c r="AB22" s="2"/>
    </row>
    <row r="23" spans="1:28" ht="15.75" customHeight="1">
      <c r="A23" s="34"/>
      <c r="B23" s="33">
        <f t="shared" si="3"/>
        <v>22</v>
      </c>
      <c r="C23" s="29" t="s">
        <v>64</v>
      </c>
      <c r="D23" s="6" t="s">
        <v>65</v>
      </c>
      <c r="E23" s="6" t="s">
        <v>66</v>
      </c>
      <c r="F23" s="6"/>
      <c r="G23" s="6"/>
      <c r="H23" s="6"/>
      <c r="I23" s="6"/>
      <c r="J23" s="6"/>
      <c r="K23" s="6"/>
      <c r="L23" s="6"/>
      <c r="M23" s="6"/>
      <c r="N23" s="6"/>
      <c r="O23" s="6">
        <f t="shared" si="0"/>
        <v>0</v>
      </c>
      <c r="P23" s="6"/>
      <c r="Q23" s="6" t="str">
        <f t="shared" ca="1" si="1"/>
        <v>Expired</v>
      </c>
      <c r="R23" s="6">
        <f t="shared" ca="1" si="2"/>
        <v>0</v>
      </c>
      <c r="S23" s="6"/>
      <c r="T23" s="27"/>
      <c r="U23" s="33"/>
      <c r="V23" s="33"/>
      <c r="W23" s="29"/>
      <c r="X23" s="6"/>
      <c r="Y23" s="6"/>
      <c r="Z23" s="6"/>
      <c r="AA23" s="6"/>
      <c r="AB23" s="6"/>
    </row>
    <row r="24" spans="1:28" ht="15.75" customHeight="1">
      <c r="A24" s="34"/>
      <c r="B24" s="32">
        <f t="shared" si="3"/>
        <v>23</v>
      </c>
      <c r="C24" s="28" t="s">
        <v>64</v>
      </c>
      <c r="D24" s="2" t="s">
        <v>67</v>
      </c>
      <c r="E24" s="2" t="s">
        <v>68</v>
      </c>
      <c r="F24" s="2"/>
      <c r="G24" s="2"/>
      <c r="H24" s="2"/>
      <c r="I24" s="2"/>
      <c r="J24" s="2"/>
      <c r="K24" s="2"/>
      <c r="L24" s="2"/>
      <c r="M24" s="2"/>
      <c r="N24" s="2"/>
      <c r="O24" s="2">
        <f t="shared" si="0"/>
        <v>0</v>
      </c>
      <c r="P24" s="2"/>
      <c r="Q24" s="2" t="str">
        <f t="shared" ca="1" si="1"/>
        <v>Expired</v>
      </c>
      <c r="R24" s="2">
        <f t="shared" ca="1" si="2"/>
        <v>0</v>
      </c>
      <c r="S24" s="2"/>
      <c r="T24" s="26"/>
      <c r="U24" s="32"/>
      <c r="V24" s="32"/>
      <c r="W24" s="28"/>
      <c r="X24" s="2"/>
      <c r="Y24" s="2"/>
      <c r="Z24" s="2"/>
      <c r="AA24" s="2"/>
      <c r="AB24" s="2"/>
    </row>
    <row r="25" spans="1:28" ht="15.75" customHeight="1">
      <c r="A25" s="34"/>
      <c r="B25" s="33">
        <f t="shared" si="3"/>
        <v>24</v>
      </c>
      <c r="C25" s="29" t="s">
        <v>69</v>
      </c>
      <c r="D25" s="6" t="s">
        <v>70</v>
      </c>
      <c r="E25" s="6" t="s">
        <v>24</v>
      </c>
      <c r="F25" s="6"/>
      <c r="G25" s="6"/>
      <c r="H25" s="6"/>
      <c r="I25" s="6"/>
      <c r="J25" s="6"/>
      <c r="K25" s="6"/>
      <c r="L25" s="6"/>
      <c r="M25" s="6"/>
      <c r="N25" s="6"/>
      <c r="O25" s="6">
        <f t="shared" si="0"/>
        <v>0</v>
      </c>
      <c r="P25" s="6"/>
      <c r="Q25" s="6" t="str">
        <f t="shared" ca="1" si="1"/>
        <v>Expired</v>
      </c>
      <c r="R25" s="6">
        <f t="shared" ca="1" si="2"/>
        <v>0</v>
      </c>
      <c r="S25" s="6"/>
      <c r="T25" s="27"/>
      <c r="U25" s="33"/>
      <c r="V25" s="33"/>
      <c r="W25" s="29"/>
      <c r="X25" s="6"/>
      <c r="Y25" s="6"/>
      <c r="Z25" s="6"/>
      <c r="AA25" s="6"/>
      <c r="AB25" s="6"/>
    </row>
    <row r="26" spans="1:28" ht="15.75" customHeight="1">
      <c r="A26" s="34"/>
      <c r="B26" s="32">
        <f t="shared" si="3"/>
        <v>25</v>
      </c>
      <c r="C26" s="28" t="s">
        <v>71</v>
      </c>
      <c r="D26" s="2" t="s">
        <v>70</v>
      </c>
      <c r="E26" s="2" t="s">
        <v>24</v>
      </c>
      <c r="F26" s="2"/>
      <c r="G26" s="2"/>
      <c r="H26" s="2"/>
      <c r="I26" s="2"/>
      <c r="J26" s="2"/>
      <c r="K26" s="2"/>
      <c r="L26" s="2"/>
      <c r="M26" s="2"/>
      <c r="N26" s="2"/>
      <c r="O26" s="2">
        <f t="shared" si="0"/>
        <v>0</v>
      </c>
      <c r="P26" s="2"/>
      <c r="Q26" s="2" t="str">
        <f t="shared" ca="1" si="1"/>
        <v>Expired</v>
      </c>
      <c r="R26" s="2">
        <f t="shared" ca="1" si="2"/>
        <v>0</v>
      </c>
      <c r="S26" s="2"/>
      <c r="T26" s="26"/>
      <c r="U26" s="32"/>
      <c r="V26" s="32"/>
      <c r="W26" s="28"/>
      <c r="X26" s="2"/>
      <c r="Y26" s="2"/>
      <c r="Z26" s="2"/>
      <c r="AA26" s="2"/>
      <c r="AB26" s="2"/>
    </row>
    <row r="27" spans="1:28" ht="15.75" customHeight="1">
      <c r="A27" s="34"/>
      <c r="B27" s="33">
        <f t="shared" si="3"/>
        <v>26</v>
      </c>
      <c r="C27" s="29" t="s">
        <v>72</v>
      </c>
      <c r="D27" s="6" t="s">
        <v>73</v>
      </c>
      <c r="E27" s="6" t="s">
        <v>24</v>
      </c>
      <c r="F27" s="6"/>
      <c r="G27" s="6"/>
      <c r="H27" s="6"/>
      <c r="I27" s="6"/>
      <c r="J27" s="6"/>
      <c r="K27" s="6"/>
      <c r="L27" s="6"/>
      <c r="M27" s="6"/>
      <c r="N27" s="6"/>
      <c r="O27" s="6">
        <f t="shared" si="0"/>
        <v>0</v>
      </c>
      <c r="P27" s="6"/>
      <c r="Q27" s="6" t="str">
        <f t="shared" ca="1" si="1"/>
        <v>Expired</v>
      </c>
      <c r="R27" s="6">
        <f t="shared" ca="1" si="2"/>
        <v>0</v>
      </c>
      <c r="S27" s="6"/>
      <c r="T27" s="27"/>
      <c r="U27" s="33"/>
      <c r="V27" s="33"/>
      <c r="W27" s="29"/>
      <c r="X27" s="6"/>
      <c r="Y27" s="6"/>
      <c r="Z27" s="6"/>
      <c r="AA27" s="6"/>
      <c r="AB27" s="6"/>
    </row>
    <row r="28" spans="1:28" ht="15.75" customHeight="1">
      <c r="A28" s="34"/>
      <c r="B28" s="32">
        <f t="shared" si="3"/>
        <v>27</v>
      </c>
      <c r="C28" s="28" t="s">
        <v>74</v>
      </c>
      <c r="D28" s="2" t="s">
        <v>75</v>
      </c>
      <c r="E28" s="2" t="s">
        <v>24</v>
      </c>
      <c r="F28" s="2"/>
      <c r="G28" s="2"/>
      <c r="H28" s="2"/>
      <c r="I28" s="2"/>
      <c r="J28" s="2"/>
      <c r="K28" s="2"/>
      <c r="L28" s="2"/>
      <c r="M28" s="2"/>
      <c r="N28" s="2"/>
      <c r="O28" s="2">
        <f t="shared" si="0"/>
        <v>0</v>
      </c>
      <c r="P28" s="2"/>
      <c r="Q28" s="2" t="str">
        <f t="shared" ca="1" si="1"/>
        <v>Expired</v>
      </c>
      <c r="R28" s="2">
        <f t="shared" ca="1" si="2"/>
        <v>0</v>
      </c>
      <c r="S28" s="2"/>
      <c r="T28" s="26"/>
      <c r="U28" s="32"/>
      <c r="V28" s="32"/>
      <c r="W28" s="28"/>
      <c r="X28" s="2"/>
      <c r="Y28" s="2"/>
      <c r="Z28" s="2"/>
      <c r="AA28" s="2"/>
      <c r="AB28" s="2"/>
    </row>
    <row r="29" spans="1:28" ht="15.75" customHeight="1">
      <c r="A29" s="34"/>
      <c r="B29" s="33">
        <f t="shared" si="3"/>
        <v>28</v>
      </c>
      <c r="C29" s="29" t="s">
        <v>76</v>
      </c>
      <c r="D29" s="6" t="s">
        <v>77</v>
      </c>
      <c r="E29" s="6" t="s">
        <v>78</v>
      </c>
      <c r="F29" s="6"/>
      <c r="G29" s="6"/>
      <c r="H29" s="6"/>
      <c r="I29" s="6"/>
      <c r="J29" s="6"/>
      <c r="K29" s="6"/>
      <c r="L29" s="6"/>
      <c r="M29" s="6"/>
      <c r="N29" s="6"/>
      <c r="O29" s="6">
        <f t="shared" si="0"/>
        <v>0</v>
      </c>
      <c r="P29" s="6"/>
      <c r="Q29" s="6" t="str">
        <f t="shared" ca="1" si="1"/>
        <v>Expired</v>
      </c>
      <c r="R29" s="6">
        <f t="shared" ca="1" si="2"/>
        <v>0</v>
      </c>
      <c r="S29" s="6"/>
      <c r="T29" s="27"/>
      <c r="U29" s="33"/>
      <c r="V29" s="33"/>
      <c r="W29" s="29"/>
      <c r="X29" s="6"/>
      <c r="Y29" s="6"/>
      <c r="Z29" s="6"/>
      <c r="AA29" s="6"/>
      <c r="AB29" s="6"/>
    </row>
    <row r="30" spans="1:28" ht="15.75" customHeight="1">
      <c r="A30" s="34"/>
      <c r="B30" s="32">
        <f t="shared" si="3"/>
        <v>29</v>
      </c>
      <c r="C30" s="28" t="s">
        <v>76</v>
      </c>
      <c r="D30" s="2" t="s">
        <v>79</v>
      </c>
      <c r="E30" s="2" t="s">
        <v>34</v>
      </c>
      <c r="F30" s="2"/>
      <c r="G30" s="2"/>
      <c r="H30" s="2"/>
      <c r="I30" s="2"/>
      <c r="J30" s="2"/>
      <c r="K30" s="2"/>
      <c r="L30" s="2"/>
      <c r="M30" s="2"/>
      <c r="N30" s="2"/>
      <c r="O30" s="2">
        <f t="shared" si="0"/>
        <v>0</v>
      </c>
      <c r="P30" s="2"/>
      <c r="Q30" s="2" t="str">
        <f t="shared" ca="1" si="1"/>
        <v>Expired</v>
      </c>
      <c r="R30" s="2">
        <f t="shared" ca="1" si="2"/>
        <v>0</v>
      </c>
      <c r="S30" s="2"/>
      <c r="T30" s="26"/>
      <c r="U30" s="32"/>
      <c r="V30" s="32"/>
      <c r="W30" s="28"/>
      <c r="X30" s="2"/>
      <c r="Y30" s="2"/>
      <c r="Z30" s="2"/>
      <c r="AA30" s="2"/>
      <c r="AB30" s="2"/>
    </row>
    <row r="31" spans="1:28" ht="15.75" customHeight="1">
      <c r="A31" s="34"/>
      <c r="B31" s="33">
        <f t="shared" si="3"/>
        <v>30</v>
      </c>
      <c r="C31" s="29" t="s">
        <v>80</v>
      </c>
      <c r="D31" s="6" t="s">
        <v>81</v>
      </c>
      <c r="E31" s="6" t="s">
        <v>24</v>
      </c>
      <c r="F31" s="6"/>
      <c r="G31" s="6"/>
      <c r="H31" s="6"/>
      <c r="I31" s="6"/>
      <c r="J31" s="6"/>
      <c r="K31" s="6"/>
      <c r="L31" s="6"/>
      <c r="M31" s="6"/>
      <c r="N31" s="6"/>
      <c r="O31" s="6">
        <f t="shared" si="0"/>
        <v>0</v>
      </c>
      <c r="P31" s="6"/>
      <c r="Q31" s="6" t="str">
        <f t="shared" ca="1" si="1"/>
        <v>Expired</v>
      </c>
      <c r="R31" s="6">
        <f t="shared" ca="1" si="2"/>
        <v>0</v>
      </c>
      <c r="S31" s="6"/>
      <c r="T31" s="27"/>
      <c r="U31" s="33"/>
      <c r="V31" s="33"/>
      <c r="W31" s="29"/>
      <c r="X31" s="6"/>
      <c r="Y31" s="6"/>
      <c r="Z31" s="6"/>
      <c r="AA31" s="6"/>
      <c r="AB31" s="6"/>
    </row>
    <row r="32" spans="1:28" ht="15.75" customHeight="1">
      <c r="A32" s="34"/>
      <c r="B32" s="32">
        <f t="shared" si="3"/>
        <v>31</v>
      </c>
      <c r="C32" s="28" t="s">
        <v>82</v>
      </c>
      <c r="D32" s="2" t="s">
        <v>81</v>
      </c>
      <c r="E32" s="2" t="s">
        <v>24</v>
      </c>
      <c r="F32" s="2"/>
      <c r="G32" s="2"/>
      <c r="H32" s="2"/>
      <c r="I32" s="2"/>
      <c r="J32" s="2"/>
      <c r="K32" s="2"/>
      <c r="L32" s="2"/>
      <c r="M32" s="2"/>
      <c r="N32" s="2"/>
      <c r="O32" s="2">
        <f t="shared" si="0"/>
        <v>0</v>
      </c>
      <c r="P32" s="2"/>
      <c r="Q32" s="2" t="str">
        <f t="shared" ca="1" si="1"/>
        <v>Expired</v>
      </c>
      <c r="R32" s="2">
        <f t="shared" ca="1" si="2"/>
        <v>0</v>
      </c>
      <c r="S32" s="2"/>
      <c r="T32" s="26"/>
      <c r="U32" s="32"/>
      <c r="V32" s="32"/>
      <c r="W32" s="28"/>
      <c r="X32" s="2"/>
      <c r="Y32" s="2"/>
      <c r="Z32" s="2"/>
      <c r="AA32" s="2"/>
      <c r="AB32" s="2"/>
    </row>
    <row r="33" spans="1:28" ht="15.75" customHeight="1">
      <c r="A33" s="34"/>
      <c r="B33" s="33">
        <f t="shared" si="3"/>
        <v>32</v>
      </c>
      <c r="C33" s="29" t="s">
        <v>83</v>
      </c>
      <c r="D33" s="6" t="s">
        <v>84</v>
      </c>
      <c r="E33" s="6" t="s">
        <v>24</v>
      </c>
      <c r="F33" s="6"/>
      <c r="G33" s="6"/>
      <c r="H33" s="6"/>
      <c r="I33" s="6"/>
      <c r="J33" s="6"/>
      <c r="K33" s="6"/>
      <c r="L33" s="6"/>
      <c r="M33" s="6"/>
      <c r="N33" s="6"/>
      <c r="O33" s="6">
        <f t="shared" si="0"/>
        <v>0</v>
      </c>
      <c r="P33" s="6"/>
      <c r="Q33" s="6" t="str">
        <f t="shared" ca="1" si="1"/>
        <v>Expired</v>
      </c>
      <c r="R33" s="6">
        <f t="shared" ca="1" si="2"/>
        <v>0</v>
      </c>
      <c r="S33" s="6"/>
      <c r="T33" s="27"/>
      <c r="U33" s="33"/>
      <c r="V33" s="33"/>
      <c r="W33" s="29"/>
      <c r="X33" s="6"/>
      <c r="Y33" s="6"/>
      <c r="Z33" s="6"/>
      <c r="AA33" s="6"/>
      <c r="AB33" s="6"/>
    </row>
    <row r="34" spans="1:28" ht="15.75" customHeight="1">
      <c r="A34" s="34"/>
      <c r="B34" s="32">
        <f t="shared" si="3"/>
        <v>33</v>
      </c>
      <c r="C34" s="28" t="s">
        <v>85</v>
      </c>
      <c r="D34" s="2" t="s">
        <v>81</v>
      </c>
      <c r="E34" s="2" t="s">
        <v>24</v>
      </c>
      <c r="F34" s="2"/>
      <c r="G34" s="2"/>
      <c r="H34" s="2"/>
      <c r="I34" s="2"/>
      <c r="J34" s="2"/>
      <c r="K34" s="2"/>
      <c r="L34" s="2"/>
      <c r="M34" s="2"/>
      <c r="N34" s="2"/>
      <c r="O34" s="2">
        <f t="shared" ref="O34:O51" si="4">M34-N34</f>
        <v>0</v>
      </c>
      <c r="P34" s="2"/>
      <c r="Q34" s="2" t="str">
        <f t="shared" ref="Q34:Q51" ca="1" si="5">IF(K34&gt;=TODAY(),"Active","Expired")</f>
        <v>Expired</v>
      </c>
      <c r="R34" s="2">
        <f t="shared" ref="R34:R51" ca="1" si="6">IF(K34&gt;=TODAY(),K34-TODAY(),0)</f>
        <v>0</v>
      </c>
      <c r="S34" s="2"/>
      <c r="T34" s="26"/>
      <c r="U34" s="32"/>
      <c r="V34" s="32"/>
      <c r="W34" s="28"/>
      <c r="X34" s="2"/>
      <c r="Y34" s="2"/>
      <c r="Z34" s="2"/>
      <c r="AA34" s="2"/>
      <c r="AB34" s="2"/>
    </row>
    <row r="35" spans="1:28" ht="15.75" customHeight="1">
      <c r="A35" s="34"/>
      <c r="B35" s="33">
        <f t="shared" ref="B35:B51" si="7">ROW()-1</f>
        <v>34</v>
      </c>
      <c r="C35" s="29" t="s">
        <v>86</v>
      </c>
      <c r="D35" s="6" t="s">
        <v>87</v>
      </c>
      <c r="E35" s="6" t="s">
        <v>88</v>
      </c>
      <c r="F35" s="6"/>
      <c r="G35" s="6"/>
      <c r="H35" s="6"/>
      <c r="I35" s="6"/>
      <c r="J35" s="6"/>
      <c r="K35" s="6"/>
      <c r="L35" s="6"/>
      <c r="M35" s="6"/>
      <c r="N35" s="6"/>
      <c r="O35" s="6">
        <f t="shared" si="4"/>
        <v>0</v>
      </c>
      <c r="P35" s="6"/>
      <c r="Q35" s="6" t="str">
        <f t="shared" ca="1" si="5"/>
        <v>Expired</v>
      </c>
      <c r="R35" s="6">
        <f t="shared" ca="1" si="6"/>
        <v>0</v>
      </c>
      <c r="S35" s="6"/>
      <c r="T35" s="27"/>
      <c r="U35" s="33"/>
      <c r="V35" s="33"/>
      <c r="W35" s="29"/>
      <c r="X35" s="6"/>
      <c r="Y35" s="6"/>
      <c r="Z35" s="6"/>
      <c r="AA35" s="6"/>
      <c r="AB35" s="6"/>
    </row>
    <row r="36" spans="1:28" ht="15.75" customHeight="1">
      <c r="A36" s="34"/>
      <c r="B36" s="32">
        <f t="shared" si="7"/>
        <v>35</v>
      </c>
      <c r="C36" s="28" t="s">
        <v>89</v>
      </c>
      <c r="D36" s="2" t="s">
        <v>90</v>
      </c>
      <c r="E36" s="2" t="s">
        <v>24</v>
      </c>
      <c r="F36" s="2"/>
      <c r="G36" s="2"/>
      <c r="H36" s="2"/>
      <c r="I36" s="2"/>
      <c r="J36" s="2"/>
      <c r="K36" s="2"/>
      <c r="L36" s="2"/>
      <c r="M36" s="2"/>
      <c r="N36" s="2"/>
      <c r="O36" s="2">
        <f t="shared" si="4"/>
        <v>0</v>
      </c>
      <c r="P36" s="2"/>
      <c r="Q36" s="2" t="str">
        <f t="shared" ca="1" si="5"/>
        <v>Expired</v>
      </c>
      <c r="R36" s="2">
        <f t="shared" ca="1" si="6"/>
        <v>0</v>
      </c>
      <c r="S36" s="2"/>
      <c r="T36" s="26"/>
      <c r="U36" s="32"/>
      <c r="V36" s="32"/>
      <c r="W36" s="28"/>
      <c r="X36" s="2"/>
      <c r="Y36" s="2"/>
      <c r="Z36" s="2"/>
      <c r="AA36" s="2"/>
      <c r="AB36" s="2"/>
    </row>
    <row r="37" spans="1:28" ht="15.75" customHeight="1">
      <c r="A37" s="34"/>
      <c r="B37" s="33">
        <f t="shared" si="7"/>
        <v>36</v>
      </c>
      <c r="C37" s="29" t="s">
        <v>91</v>
      </c>
      <c r="D37" s="6" t="s">
        <v>92</v>
      </c>
      <c r="E37" s="6" t="s">
        <v>66</v>
      </c>
      <c r="F37" s="6"/>
      <c r="G37" s="6"/>
      <c r="H37" s="6"/>
      <c r="I37" s="6"/>
      <c r="J37" s="6"/>
      <c r="K37" s="6"/>
      <c r="L37" s="6"/>
      <c r="M37" s="6"/>
      <c r="N37" s="6"/>
      <c r="O37" s="6">
        <f t="shared" si="4"/>
        <v>0</v>
      </c>
      <c r="P37" s="6"/>
      <c r="Q37" s="6" t="str">
        <f t="shared" ca="1" si="5"/>
        <v>Expired</v>
      </c>
      <c r="R37" s="6">
        <f t="shared" ca="1" si="6"/>
        <v>0</v>
      </c>
      <c r="S37" s="6"/>
      <c r="T37" s="27"/>
      <c r="U37" s="33"/>
      <c r="V37" s="33"/>
      <c r="W37" s="29"/>
      <c r="X37" s="6"/>
      <c r="Y37" s="6"/>
      <c r="Z37" s="6"/>
      <c r="AA37" s="6"/>
      <c r="AB37" s="6"/>
    </row>
    <row r="38" spans="1:28" ht="15.75" customHeight="1">
      <c r="A38" s="34"/>
      <c r="B38" s="32">
        <f t="shared" si="7"/>
        <v>37</v>
      </c>
      <c r="C38" s="28" t="s">
        <v>93</v>
      </c>
      <c r="D38" s="2" t="s">
        <v>94</v>
      </c>
      <c r="E38" s="2" t="s">
        <v>34</v>
      </c>
      <c r="F38" s="2"/>
      <c r="G38" s="2"/>
      <c r="H38" s="2"/>
      <c r="I38" s="2"/>
      <c r="J38" s="2"/>
      <c r="K38" s="2"/>
      <c r="L38" s="2"/>
      <c r="M38" s="2"/>
      <c r="N38" s="2"/>
      <c r="O38" s="2">
        <f t="shared" si="4"/>
        <v>0</v>
      </c>
      <c r="P38" s="2"/>
      <c r="Q38" s="2" t="str">
        <f t="shared" ca="1" si="5"/>
        <v>Expired</v>
      </c>
      <c r="R38" s="2">
        <f t="shared" ca="1" si="6"/>
        <v>0</v>
      </c>
      <c r="S38" s="2"/>
      <c r="T38" s="26"/>
      <c r="U38" s="32"/>
      <c r="V38" s="32"/>
      <c r="W38" s="28"/>
      <c r="X38" s="2"/>
      <c r="Y38" s="2"/>
      <c r="Z38" s="2"/>
      <c r="AA38" s="2"/>
      <c r="AB38" s="2"/>
    </row>
    <row r="39" spans="1:28" ht="15.75" customHeight="1">
      <c r="A39" s="34"/>
      <c r="B39" s="33">
        <f t="shared" si="7"/>
        <v>38</v>
      </c>
      <c r="C39" s="29" t="s">
        <v>95</v>
      </c>
      <c r="D39" s="6" t="s">
        <v>96</v>
      </c>
      <c r="E39" s="6" t="s">
        <v>97</v>
      </c>
      <c r="F39" s="6"/>
      <c r="G39" s="6"/>
      <c r="H39" s="6"/>
      <c r="I39" s="6"/>
      <c r="J39" s="6"/>
      <c r="K39" s="6"/>
      <c r="L39" s="6"/>
      <c r="M39" s="6"/>
      <c r="N39" s="6"/>
      <c r="O39" s="6">
        <f t="shared" si="4"/>
        <v>0</v>
      </c>
      <c r="P39" s="6"/>
      <c r="Q39" s="6" t="str">
        <f t="shared" ca="1" si="5"/>
        <v>Expired</v>
      </c>
      <c r="R39" s="6">
        <f t="shared" ca="1" si="6"/>
        <v>0</v>
      </c>
      <c r="S39" s="6"/>
      <c r="T39" s="27"/>
      <c r="U39" s="33"/>
      <c r="V39" s="33"/>
      <c r="W39" s="29"/>
      <c r="X39" s="6"/>
      <c r="Y39" s="6"/>
      <c r="Z39" s="6"/>
      <c r="AA39" s="6"/>
      <c r="AB39" s="6"/>
    </row>
    <row r="40" spans="1:28" ht="15.75" customHeight="1">
      <c r="A40" s="34"/>
      <c r="B40" s="32">
        <f t="shared" si="7"/>
        <v>39</v>
      </c>
      <c r="C40" s="28" t="s">
        <v>98</v>
      </c>
      <c r="D40" s="2" t="s">
        <v>90</v>
      </c>
      <c r="E40" s="2" t="s">
        <v>34</v>
      </c>
      <c r="F40" s="2"/>
      <c r="G40" s="2"/>
      <c r="H40" s="2"/>
      <c r="I40" s="2"/>
      <c r="J40" s="2"/>
      <c r="K40" s="2"/>
      <c r="L40" s="2"/>
      <c r="M40" s="2"/>
      <c r="N40" s="2"/>
      <c r="O40" s="2">
        <f t="shared" si="4"/>
        <v>0</v>
      </c>
      <c r="P40" s="2"/>
      <c r="Q40" s="2" t="str">
        <f t="shared" ca="1" si="5"/>
        <v>Expired</v>
      </c>
      <c r="R40" s="2">
        <f t="shared" ca="1" si="6"/>
        <v>0</v>
      </c>
      <c r="S40" s="2"/>
      <c r="T40" s="26"/>
      <c r="U40" s="32"/>
      <c r="V40" s="32"/>
      <c r="W40" s="28"/>
      <c r="X40" s="2"/>
      <c r="Y40" s="2"/>
      <c r="Z40" s="2"/>
      <c r="AA40" s="2"/>
      <c r="AB40" s="2"/>
    </row>
    <row r="41" spans="1:28" ht="15.75" customHeight="1">
      <c r="A41" s="34"/>
      <c r="B41" s="33">
        <f t="shared" si="7"/>
        <v>40</v>
      </c>
      <c r="C41" s="29" t="s">
        <v>99</v>
      </c>
      <c r="D41" s="6" t="s">
        <v>73</v>
      </c>
      <c r="E41" s="6" t="s">
        <v>34</v>
      </c>
      <c r="F41" s="6"/>
      <c r="G41" s="6"/>
      <c r="H41" s="6"/>
      <c r="I41" s="6"/>
      <c r="J41" s="6"/>
      <c r="K41" s="6"/>
      <c r="L41" s="6"/>
      <c r="M41" s="6"/>
      <c r="N41" s="6"/>
      <c r="O41" s="6">
        <f t="shared" si="4"/>
        <v>0</v>
      </c>
      <c r="P41" s="6"/>
      <c r="Q41" s="6" t="str">
        <f t="shared" ca="1" si="5"/>
        <v>Expired</v>
      </c>
      <c r="R41" s="6">
        <f t="shared" ca="1" si="6"/>
        <v>0</v>
      </c>
      <c r="S41" s="6"/>
      <c r="T41" s="27"/>
      <c r="U41" s="33"/>
      <c r="V41" s="33"/>
      <c r="W41" s="29"/>
      <c r="X41" s="6"/>
      <c r="Y41" s="6"/>
      <c r="Z41" s="6"/>
      <c r="AA41" s="6"/>
      <c r="AB41" s="6"/>
    </row>
    <row r="42" spans="1:28" ht="15.75" customHeight="1">
      <c r="A42" s="34"/>
      <c r="B42" s="32">
        <f t="shared" si="7"/>
        <v>41</v>
      </c>
      <c r="C42" s="28" t="s">
        <v>100</v>
      </c>
      <c r="D42" s="2" t="s">
        <v>73</v>
      </c>
      <c r="E42" s="2" t="s">
        <v>34</v>
      </c>
      <c r="F42" s="2"/>
      <c r="G42" s="2"/>
      <c r="H42" s="2"/>
      <c r="I42" s="2"/>
      <c r="J42" s="2"/>
      <c r="K42" s="2"/>
      <c r="L42" s="2"/>
      <c r="M42" s="2"/>
      <c r="N42" s="2"/>
      <c r="O42" s="2">
        <f t="shared" si="4"/>
        <v>0</v>
      </c>
      <c r="P42" s="2"/>
      <c r="Q42" s="2" t="str">
        <f t="shared" ca="1" si="5"/>
        <v>Expired</v>
      </c>
      <c r="R42" s="2">
        <f t="shared" ca="1" si="6"/>
        <v>0</v>
      </c>
      <c r="S42" s="2"/>
      <c r="T42" s="26"/>
      <c r="U42" s="32"/>
      <c r="V42" s="32"/>
      <c r="W42" s="28"/>
      <c r="X42" s="2"/>
      <c r="Y42" s="2"/>
      <c r="Z42" s="2"/>
      <c r="AA42" s="2"/>
      <c r="AB42" s="2"/>
    </row>
    <row r="43" spans="1:28" ht="15.75" customHeight="1">
      <c r="A43" s="34"/>
      <c r="B43" s="33">
        <f t="shared" si="7"/>
        <v>42</v>
      </c>
      <c r="C43" s="29" t="s">
        <v>101</v>
      </c>
      <c r="D43" s="6" t="s">
        <v>102</v>
      </c>
      <c r="E43" s="6" t="s">
        <v>40</v>
      </c>
      <c r="F43" s="6"/>
      <c r="G43" s="6"/>
      <c r="H43" s="6"/>
      <c r="I43" s="6"/>
      <c r="J43" s="6"/>
      <c r="K43" s="6"/>
      <c r="L43" s="6"/>
      <c r="M43" s="6"/>
      <c r="N43" s="6"/>
      <c r="O43" s="6">
        <f t="shared" si="4"/>
        <v>0</v>
      </c>
      <c r="P43" s="6"/>
      <c r="Q43" s="6" t="str">
        <f t="shared" ca="1" si="5"/>
        <v>Expired</v>
      </c>
      <c r="R43" s="6">
        <f t="shared" ca="1" si="6"/>
        <v>0</v>
      </c>
      <c r="S43" s="6"/>
      <c r="T43" s="27"/>
      <c r="U43" s="33"/>
      <c r="V43" s="33"/>
      <c r="W43" s="29"/>
      <c r="X43" s="6"/>
      <c r="Y43" s="6"/>
      <c r="Z43" s="6"/>
      <c r="AA43" s="6"/>
      <c r="AB43" s="6"/>
    </row>
    <row r="44" spans="1:28" ht="15.75" customHeight="1">
      <c r="A44" s="34"/>
      <c r="B44" s="32">
        <f t="shared" si="7"/>
        <v>43</v>
      </c>
      <c r="C44" s="28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>
        <f t="shared" si="4"/>
        <v>0</v>
      </c>
      <c r="P44" s="2"/>
      <c r="Q44" s="2" t="str">
        <f t="shared" ca="1" si="5"/>
        <v>Expired</v>
      </c>
      <c r="R44" s="2">
        <f t="shared" ca="1" si="6"/>
        <v>0</v>
      </c>
      <c r="S44" s="2"/>
      <c r="T44" s="26"/>
      <c r="U44" s="32"/>
      <c r="V44" s="32"/>
      <c r="W44" s="28"/>
      <c r="X44" s="2"/>
      <c r="Y44" s="2"/>
      <c r="Z44" s="2"/>
      <c r="AA44" s="2"/>
      <c r="AB44" s="2"/>
    </row>
    <row r="45" spans="1:28" ht="15.75" customHeight="1">
      <c r="A45" s="34"/>
      <c r="B45" s="33">
        <f t="shared" si="7"/>
        <v>44</v>
      </c>
      <c r="C45" s="29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>
        <f t="shared" si="4"/>
        <v>0</v>
      </c>
      <c r="P45" s="6"/>
      <c r="Q45" s="6" t="str">
        <f t="shared" ca="1" si="5"/>
        <v>Expired</v>
      </c>
      <c r="R45" s="6">
        <f t="shared" ca="1" si="6"/>
        <v>0</v>
      </c>
      <c r="S45" s="6"/>
      <c r="T45" s="27"/>
      <c r="U45" s="33"/>
      <c r="V45" s="33"/>
      <c r="W45" s="29"/>
      <c r="X45" s="6"/>
      <c r="Y45" s="6"/>
      <c r="Z45" s="6"/>
      <c r="AA45" s="6"/>
      <c r="AB45" s="6"/>
    </row>
    <row r="46" spans="1:28" ht="15.75" customHeight="1">
      <c r="A46" s="34"/>
      <c r="B46" s="32">
        <f t="shared" si="7"/>
        <v>45</v>
      </c>
      <c r="C46" s="28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>
        <f t="shared" si="4"/>
        <v>0</v>
      </c>
      <c r="P46" s="2"/>
      <c r="Q46" s="2" t="str">
        <f t="shared" ca="1" si="5"/>
        <v>Expired</v>
      </c>
      <c r="R46" s="2">
        <f t="shared" ca="1" si="6"/>
        <v>0</v>
      </c>
      <c r="S46" s="2"/>
      <c r="T46" s="26"/>
      <c r="U46" s="32"/>
      <c r="V46" s="32"/>
      <c r="W46" s="28"/>
      <c r="X46" s="2"/>
      <c r="Y46" s="2"/>
      <c r="Z46" s="2"/>
      <c r="AA46" s="2"/>
      <c r="AB46" s="2"/>
    </row>
    <row r="47" spans="1:28" ht="15.75" customHeight="1">
      <c r="A47" s="34"/>
      <c r="B47" s="33">
        <f t="shared" si="7"/>
        <v>46</v>
      </c>
      <c r="C47" s="29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>
        <f t="shared" si="4"/>
        <v>0</v>
      </c>
      <c r="P47" s="6"/>
      <c r="Q47" s="6" t="str">
        <f t="shared" ca="1" si="5"/>
        <v>Expired</v>
      </c>
      <c r="R47" s="6">
        <f t="shared" ca="1" si="6"/>
        <v>0</v>
      </c>
      <c r="S47" s="6"/>
      <c r="T47" s="27"/>
      <c r="U47" s="33"/>
      <c r="V47" s="33"/>
      <c r="W47" s="29"/>
      <c r="X47" s="6"/>
      <c r="Y47" s="6"/>
      <c r="Z47" s="6"/>
      <c r="AA47" s="6"/>
      <c r="AB47" s="6"/>
    </row>
    <row r="48" spans="1:28" ht="15.75" customHeight="1">
      <c r="A48" s="34"/>
      <c r="B48" s="32">
        <f t="shared" si="7"/>
        <v>47</v>
      </c>
      <c r="C48" s="28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>
        <f t="shared" si="4"/>
        <v>0</v>
      </c>
      <c r="P48" s="2"/>
      <c r="Q48" s="2" t="str">
        <f t="shared" ca="1" si="5"/>
        <v>Expired</v>
      </c>
      <c r="R48" s="2">
        <f t="shared" ca="1" si="6"/>
        <v>0</v>
      </c>
      <c r="S48" s="2"/>
      <c r="T48" s="26"/>
      <c r="U48" s="32"/>
      <c r="V48" s="32"/>
      <c r="W48" s="28"/>
      <c r="X48" s="2"/>
      <c r="Y48" s="2"/>
      <c r="Z48" s="2"/>
      <c r="AA48" s="2"/>
      <c r="AB48" s="2"/>
    </row>
    <row r="49" spans="1:28" ht="15.75" customHeight="1">
      <c r="A49" s="34"/>
      <c r="B49" s="33">
        <f t="shared" si="7"/>
        <v>48</v>
      </c>
      <c r="C49" s="29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>
        <f t="shared" si="4"/>
        <v>0</v>
      </c>
      <c r="P49" s="6"/>
      <c r="Q49" s="6" t="str">
        <f t="shared" ca="1" si="5"/>
        <v>Expired</v>
      </c>
      <c r="R49" s="6">
        <f t="shared" ca="1" si="6"/>
        <v>0</v>
      </c>
      <c r="S49" s="6"/>
      <c r="T49" s="27"/>
      <c r="U49" s="33"/>
      <c r="V49" s="33"/>
      <c r="W49" s="29"/>
      <c r="X49" s="6"/>
      <c r="Y49" s="6"/>
      <c r="Z49" s="6"/>
      <c r="AA49" s="6"/>
      <c r="AB49" s="6"/>
    </row>
    <row r="50" spans="1:28" ht="15.75" customHeight="1">
      <c r="A50" s="34"/>
      <c r="B50" s="32">
        <f t="shared" si="7"/>
        <v>49</v>
      </c>
      <c r="C50" s="28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>
        <f t="shared" si="4"/>
        <v>0</v>
      </c>
      <c r="P50" s="2"/>
      <c r="Q50" s="2" t="str">
        <f t="shared" ca="1" si="5"/>
        <v>Expired</v>
      </c>
      <c r="R50" s="2">
        <f t="shared" ca="1" si="6"/>
        <v>0</v>
      </c>
      <c r="S50" s="2"/>
      <c r="T50" s="26"/>
      <c r="U50" s="32"/>
      <c r="V50" s="32"/>
      <c r="W50" s="28"/>
      <c r="X50" s="2"/>
      <c r="Y50" s="2"/>
      <c r="Z50" s="2"/>
      <c r="AA50" s="2"/>
      <c r="AB50" s="2"/>
    </row>
    <row r="51" spans="1:28" ht="15.75" customHeight="1">
      <c r="A51" s="34"/>
      <c r="B51" s="33">
        <f t="shared" si="7"/>
        <v>50</v>
      </c>
      <c r="C51" s="29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>
        <f t="shared" si="4"/>
        <v>0</v>
      </c>
      <c r="P51" s="6"/>
      <c r="Q51" s="6" t="str">
        <f t="shared" ca="1" si="5"/>
        <v>Expired</v>
      </c>
      <c r="R51" s="6">
        <f t="shared" ca="1" si="6"/>
        <v>0</v>
      </c>
      <c r="S51" s="6"/>
      <c r="T51" s="27"/>
      <c r="U51" s="33"/>
      <c r="V51" s="33"/>
      <c r="W51" s="29"/>
      <c r="X51" s="6"/>
      <c r="Y51" s="6"/>
      <c r="Z51" s="6"/>
      <c r="AA51" s="6"/>
      <c r="AB51" s="6"/>
    </row>
    <row r="52" spans="1:28" ht="15.75" customHeight="1"/>
    <row r="53" spans="1:28" ht="15.75" customHeight="1"/>
    <row r="54" spans="1:28" ht="15.75" customHeight="1"/>
    <row r="55" spans="1:28" ht="15.75" customHeight="1"/>
    <row r="56" spans="1:28" ht="15.75" customHeight="1"/>
    <row r="57" spans="1:28" ht="15.75" customHeight="1"/>
    <row r="58" spans="1:28" ht="15.75" customHeight="1"/>
    <row r="59" spans="1:28" ht="15.75" customHeight="1"/>
    <row r="60" spans="1:28" ht="15.75" customHeight="1"/>
    <row r="61" spans="1:28" ht="15.75" customHeight="1"/>
    <row r="62" spans="1:28" ht="15.75" customHeight="1"/>
    <row r="63" spans="1:28" ht="15.75" customHeight="1"/>
    <row r="64" spans="1:28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</sheetData>
  <pageMargins left="0.75" right="0.75" top="1" bottom="1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457200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</xdr:row>
                    <xdr:rowOff>9525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</xdr:row>
                    <xdr:rowOff>9525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7</xdr:row>
                    <xdr:rowOff>9525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Button 11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Button 12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9</xdr:row>
                    <xdr:rowOff>9525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Button 13">
              <controlPr defaultSize="0" print="0" autoFill="0" autoPict="0" macro="[0]!SaveRowData" altText="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4" name="Button 14">
              <controlPr defaultSize="0" print="0" autoFill="0" autoPict="0" macro="[0]!SaveRowData" altText="">
                <anchor moveWithCells="1">
                  <from>
                    <xdr:col>0</xdr:col>
                    <xdr:colOff>9525</xdr:colOff>
                    <xdr:row>11</xdr:row>
                    <xdr:rowOff>9525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5" name="Button 15">
              <controlPr defaultSize="0" print="0" autoFill="0" autoPict="0" macro="[0]!SaveRowData" altText="">
                <anchor moveWithCells="1">
                  <from>
                    <xdr:col>0</xdr:col>
                    <xdr:colOff>9525</xdr:colOff>
                    <xdr:row>12</xdr:row>
                    <xdr:rowOff>9525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6" name="Button 16">
              <controlPr defaultSize="0" print="0" autoFill="0" autoPict="0" macro="[0]!SaveRowData" altText="">
                <anchor moveWithCells="1">
                  <from>
                    <xdr:col>0</xdr:col>
                    <xdr:colOff>9525</xdr:colOff>
                    <xdr:row>13</xdr:row>
                    <xdr:rowOff>9525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Button 17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14</xdr:row>
                    <xdr:rowOff>9525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8" name="Button 18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15</xdr:row>
                    <xdr:rowOff>9525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9" name="Button 19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0" name="Button 20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1" name="Button 21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2" name="Button 22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19</xdr:row>
                    <xdr:rowOff>9525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3" name="Button 23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20</xdr:row>
                    <xdr:rowOff>9525</xdr:rowOff>
                  </from>
                  <to>
                    <xdr:col>1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4" name="Button 24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21</xdr:row>
                    <xdr:rowOff>9525</xdr:rowOff>
                  </from>
                  <to>
                    <xdr:col>1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5" name="Button 25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6" name="Button 26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23</xdr:row>
                    <xdr:rowOff>9525</xdr:rowOff>
                  </from>
                  <to>
                    <xdr:col>1</xdr:col>
                    <xdr:colOff>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7" name="Button 27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24</xdr:row>
                    <xdr:rowOff>9525</xdr:rowOff>
                  </from>
                  <to>
                    <xdr:col>1</xdr:col>
                    <xdr:colOff>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8" name="Button 28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25</xdr:row>
                    <xdr:rowOff>9525</xdr:rowOff>
                  </from>
                  <to>
                    <xdr:col>1</xdr:col>
                    <xdr:colOff>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9" name="Button 29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26</xdr:row>
                    <xdr:rowOff>9525</xdr:rowOff>
                  </from>
                  <to>
                    <xdr:col>1</xdr:col>
                    <xdr:colOff>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0" name="Button 30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27</xdr:row>
                    <xdr:rowOff>9525</xdr:rowOff>
                  </from>
                  <to>
                    <xdr:col>1</xdr:col>
                    <xdr:colOff>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1" name="Button 31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28</xdr:row>
                    <xdr:rowOff>9525</xdr:rowOff>
                  </from>
                  <to>
                    <xdr:col>1</xdr:col>
                    <xdr:colOff>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2" name="Button 32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29</xdr:row>
                    <xdr:rowOff>9525</xdr:rowOff>
                  </from>
                  <to>
                    <xdr:col>1</xdr:col>
                    <xdr:colOff>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3" name="Button 33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30</xdr:row>
                    <xdr:rowOff>9525</xdr:rowOff>
                  </from>
                  <to>
                    <xdr:col>1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4" name="Button 34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31</xdr:row>
                    <xdr:rowOff>9525</xdr:rowOff>
                  </from>
                  <to>
                    <xdr:col>1</xdr:col>
                    <xdr:colOff>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5" name="Button 35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32</xdr:row>
                    <xdr:rowOff>9525</xdr:rowOff>
                  </from>
                  <to>
                    <xdr:col>1</xdr:col>
                    <xdr:colOff>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6" name="Button 36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33</xdr:row>
                    <xdr:rowOff>9525</xdr:rowOff>
                  </from>
                  <to>
                    <xdr:col>1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7" name="Button 37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34</xdr:row>
                    <xdr:rowOff>9525</xdr:rowOff>
                  </from>
                  <to>
                    <xdr:col>1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" name="Button 38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35</xdr:row>
                    <xdr:rowOff>9525</xdr:rowOff>
                  </from>
                  <to>
                    <xdr:col>1</xdr:col>
                    <xdr:colOff>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" name="Button 39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36</xdr:row>
                    <xdr:rowOff>9525</xdr:rowOff>
                  </from>
                  <to>
                    <xdr:col>1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0" name="Button 40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37</xdr:row>
                    <xdr:rowOff>9525</xdr:rowOff>
                  </from>
                  <to>
                    <xdr:col>1</xdr:col>
                    <xdr:colOff>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1" name="Button 41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38</xdr:row>
                    <xdr:rowOff>9525</xdr:rowOff>
                  </from>
                  <to>
                    <xdr:col>1</xdr:col>
                    <xdr:colOff>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2" name="Button 42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39</xdr:row>
                    <xdr:rowOff>9525</xdr:rowOff>
                  </from>
                  <to>
                    <xdr:col>1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3" name="Button 43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1</xdr:col>
                    <xdr:colOff>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4" name="Button 44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41</xdr:row>
                    <xdr:rowOff>9525</xdr:rowOff>
                  </from>
                  <to>
                    <xdr:col>1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5" name="Button 45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42</xdr:row>
                    <xdr:rowOff>9525</xdr:rowOff>
                  </from>
                  <to>
                    <xdr:col>1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6" name="Button 46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43</xdr:row>
                    <xdr:rowOff>9525</xdr:rowOff>
                  </from>
                  <to>
                    <xdr:col>1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7" name="Button 47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44</xdr:row>
                    <xdr:rowOff>9525</xdr:rowOff>
                  </from>
                  <to>
                    <xdr:col>1</xdr:col>
                    <xdr:colOff>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8" name="Button 48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45</xdr:row>
                    <xdr:rowOff>9525</xdr:rowOff>
                  </from>
                  <to>
                    <xdr:col>1</xdr:col>
                    <xdr:colOff>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9" name="Button 49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46</xdr:row>
                    <xdr:rowOff>9525</xdr:rowOff>
                  </from>
                  <to>
                    <xdr:col>1</xdr:col>
                    <xdr:colOff>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0" name="Button 50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47</xdr:row>
                    <xdr:rowOff>9525</xdr:rowOff>
                  </from>
                  <to>
                    <xdr:col>1</xdr:col>
                    <xdr:colOff>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1" name="Button 51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48</xdr:row>
                    <xdr:rowOff>9525</xdr:rowOff>
                  </from>
                  <to>
                    <xdr:col>1</xdr:col>
                    <xdr:colOff>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2" name="Button 52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49</xdr:row>
                    <xdr:rowOff>9525</xdr:rowOff>
                  </from>
                  <to>
                    <xdr:col>1</xdr:col>
                    <xdr:colOff>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3" name="Button 53">
              <controlPr defaultSize="0" print="0" autoFill="0" autoPict="0" macro="[0]!SaveRowData">
                <anchor moveWithCells="1">
                  <from>
                    <xdr:col>0</xdr:col>
                    <xdr:colOff>9525</xdr:colOff>
                    <xdr:row>50</xdr:row>
                    <xdr:rowOff>9525</xdr:rowOff>
                  </from>
                  <to>
                    <xdr:col>1</xdr:col>
                    <xdr:colOff>0</xdr:colOff>
                    <xdr:row>50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workbookViewId="0">
      <selection activeCell="E19" sqref="E19"/>
    </sheetView>
  </sheetViews>
  <sheetFormatPr defaultColWidth="12.625" defaultRowHeight="15" customHeight="1"/>
  <cols>
    <col min="1" max="1" width="26.25" style="1" customWidth="1"/>
    <col min="2" max="2" width="17.5" style="1" customWidth="1"/>
    <col min="3" max="3" width="7.625" style="1" customWidth="1"/>
    <col min="4" max="5" width="15.75" style="1" customWidth="1"/>
    <col min="6" max="26" width="7.625" style="1" customWidth="1"/>
  </cols>
  <sheetData>
    <row r="1" spans="1:5" ht="50.1" customHeight="1">
      <c r="A1" s="50" t="s">
        <v>103</v>
      </c>
      <c r="B1" s="51"/>
      <c r="C1" s="51"/>
      <c r="D1" s="51"/>
      <c r="E1" s="51"/>
    </row>
    <row r="2" spans="1:5" ht="14.25">
      <c r="A2" s="12"/>
      <c r="B2" s="12"/>
      <c r="C2" s="12"/>
      <c r="D2" s="12"/>
      <c r="E2" s="12"/>
    </row>
    <row r="3" spans="1:5">
      <c r="A3" s="13" t="s">
        <v>104</v>
      </c>
      <c r="B3" s="14">
        <f>COUNTA('Billboard Rentals'!C2:C101)</f>
        <v>42</v>
      </c>
      <c r="C3" s="15"/>
      <c r="D3" s="16" t="s">
        <v>105</v>
      </c>
      <c r="E3" s="16" t="s">
        <v>106</v>
      </c>
    </row>
    <row r="4" spans="1:5">
      <c r="A4" s="17" t="s">
        <v>107</v>
      </c>
      <c r="B4" s="18">
        <f>SUM('Billboard Rentals'!M2:M101)</f>
        <v>225000</v>
      </c>
      <c r="C4" s="12"/>
      <c r="D4" s="19" t="s">
        <v>108</v>
      </c>
      <c r="E4" s="20">
        <f>B6</f>
        <v>225000</v>
      </c>
    </row>
    <row r="5" spans="1:5">
      <c r="A5" s="13" t="s">
        <v>109</v>
      </c>
      <c r="B5" s="14">
        <f>SUM('Billboard Rentals'!N2:N101)</f>
        <v>0</v>
      </c>
      <c r="C5" s="15"/>
      <c r="D5" s="16" t="s">
        <v>110</v>
      </c>
      <c r="E5" s="16">
        <f ca="1">B7</f>
        <v>2</v>
      </c>
    </row>
    <row r="6" spans="1:5">
      <c r="A6" s="17" t="s">
        <v>111</v>
      </c>
      <c r="B6" s="18">
        <f>SUM('Billboard Rentals'!O2:O101)</f>
        <v>225000</v>
      </c>
      <c r="C6" s="12"/>
      <c r="D6" s="12"/>
      <c r="E6" s="12"/>
    </row>
    <row r="7" spans="1:5">
      <c r="A7" s="13" t="s">
        <v>112</v>
      </c>
      <c r="B7" s="14">
        <f ca="1">COUNTIF('Billboard Rentals'!Q2:Q101,"Active")</f>
        <v>2</v>
      </c>
      <c r="C7" s="15"/>
      <c r="D7" s="15"/>
      <c r="E7" s="15"/>
    </row>
    <row r="8" spans="1:5">
      <c r="A8" s="17" t="s">
        <v>113</v>
      </c>
      <c r="B8" s="21">
        <f ca="1">COUNTIF('Billboard Rentals'!Q2:Q101,"Expired")</f>
        <v>48</v>
      </c>
      <c r="C8" s="12"/>
      <c r="D8" s="19" t="s">
        <v>114</v>
      </c>
      <c r="E8" s="19" t="s">
        <v>115</v>
      </c>
    </row>
    <row r="9" spans="1:5" ht="14.25">
      <c r="A9" s="15"/>
      <c r="B9" s="15"/>
      <c r="C9" s="15"/>
      <c r="D9" s="16" t="s">
        <v>116</v>
      </c>
      <c r="E9" s="22">
        <f>B4</f>
        <v>225000</v>
      </c>
    </row>
    <row r="10" spans="1:5" ht="14.25">
      <c r="A10" s="12"/>
      <c r="B10" s="12"/>
      <c r="C10" s="12"/>
      <c r="D10" s="19" t="s">
        <v>117</v>
      </c>
      <c r="E10" s="19">
        <f>B5</f>
        <v>0</v>
      </c>
    </row>
    <row r="11" spans="1:5" ht="14.25">
      <c r="A11" s="15"/>
      <c r="B11" s="15"/>
      <c r="C11" s="15"/>
      <c r="D11" s="16" t="s">
        <v>118</v>
      </c>
      <c r="E11" s="22">
        <f>B6</f>
        <v>225000</v>
      </c>
    </row>
    <row r="12" spans="1:5" ht="14.25">
      <c r="A12" s="12"/>
      <c r="B12" s="12"/>
      <c r="C12" s="12"/>
      <c r="D12" s="12"/>
      <c r="E12" s="12"/>
    </row>
    <row r="13" spans="1:5" ht="14.25">
      <c r="A13" s="15"/>
      <c r="B13" s="15"/>
      <c r="C13" s="15"/>
      <c r="D13" s="15"/>
      <c r="E13" s="15"/>
    </row>
    <row r="14" spans="1:5" ht="39.75" customHeight="1">
      <c r="A14" s="23" t="s">
        <v>119</v>
      </c>
      <c r="B14" s="12"/>
      <c r="C14" s="12"/>
      <c r="D14" s="12"/>
      <c r="E14" s="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5" right="0.75" top="1" bottom="1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601"/>
  <sheetViews>
    <sheetView topLeftCell="S1" workbookViewId="0">
      <pane ySplit="1" topLeftCell="A2" activePane="bottomLeft" state="frozen"/>
      <selection pane="bottomLeft" activeCell="AB1" sqref="AB1"/>
    </sheetView>
  </sheetViews>
  <sheetFormatPr defaultColWidth="12.625" defaultRowHeight="15" customHeight="1"/>
  <cols>
    <col min="1" max="1" width="12.125" style="48" customWidth="1"/>
    <col min="2" max="2" width="33.625" style="48" customWidth="1"/>
    <col min="3" max="3" width="6" style="48" customWidth="1"/>
    <col min="4" max="4" width="15.375" style="48" customWidth="1"/>
    <col min="5" max="5" width="15.75" style="48" customWidth="1"/>
    <col min="6" max="6" width="6.375" style="48" customWidth="1"/>
    <col min="7" max="7" width="12.25" style="48" customWidth="1"/>
    <col min="8" max="8" width="19.25" style="48" customWidth="1"/>
    <col min="9" max="10" width="13.125" style="48" customWidth="1"/>
    <col min="11" max="11" width="17.5" style="48" customWidth="1"/>
    <col min="12" max="12" width="13.125" style="48" customWidth="1"/>
    <col min="13" max="16" width="15.75" style="48" customWidth="1"/>
    <col min="17" max="17" width="10.5" style="48" customWidth="1"/>
    <col min="18" max="20" width="19.25" style="48" customWidth="1"/>
    <col min="21" max="21" width="12.875" style="48" customWidth="1"/>
    <col min="22" max="22" width="17" style="48" customWidth="1"/>
    <col min="23" max="23" width="28.875" style="48" customWidth="1"/>
    <col min="24" max="24" width="7.625" style="48" customWidth="1"/>
    <col min="25" max="25" width="18.625" style="48" customWidth="1"/>
    <col min="26" max="26" width="7.625" style="48" customWidth="1"/>
    <col min="27" max="16384" width="12.625" style="34"/>
  </cols>
  <sheetData>
    <row r="1" spans="1:29" ht="50.1" customHeight="1">
      <c r="A1" s="45" t="s">
        <v>120</v>
      </c>
      <c r="B1" s="45" t="s">
        <v>123</v>
      </c>
      <c r="C1" s="44" t="s">
        <v>0</v>
      </c>
      <c r="D1" s="44" t="s">
        <v>1</v>
      </c>
      <c r="E1" s="44" t="s">
        <v>2</v>
      </c>
      <c r="F1" s="44" t="s">
        <v>3</v>
      </c>
      <c r="G1" s="44" t="s">
        <v>4</v>
      </c>
      <c r="H1" s="44" t="s">
        <v>5</v>
      </c>
      <c r="I1" s="44" t="s">
        <v>6</v>
      </c>
      <c r="J1" s="44" t="s">
        <v>7</v>
      </c>
      <c r="K1" s="44" t="s">
        <v>8</v>
      </c>
      <c r="L1" s="44" t="s">
        <v>9</v>
      </c>
      <c r="M1" s="44" t="s">
        <v>10</v>
      </c>
      <c r="N1" s="44" t="s">
        <v>11</v>
      </c>
      <c r="O1" s="44" t="s">
        <v>12</v>
      </c>
      <c r="P1" s="44" t="s">
        <v>13</v>
      </c>
      <c r="Q1" s="44" t="s">
        <v>14</v>
      </c>
      <c r="R1" s="44" t="s">
        <v>15</v>
      </c>
      <c r="S1" s="44" t="s">
        <v>16</v>
      </c>
      <c r="T1" s="44" t="s">
        <v>17</v>
      </c>
      <c r="U1" s="44" t="s">
        <v>18</v>
      </c>
      <c r="V1" s="44" t="s">
        <v>19</v>
      </c>
      <c r="W1" s="47" t="s">
        <v>20</v>
      </c>
      <c r="X1" s="47" t="s">
        <v>124</v>
      </c>
      <c r="Y1" s="47" t="s">
        <v>21</v>
      </c>
      <c r="Z1" s="47" t="s">
        <v>125</v>
      </c>
      <c r="AA1" s="47" t="s">
        <v>126</v>
      </c>
      <c r="AB1" s="47" t="s">
        <v>127</v>
      </c>
      <c r="AC1" s="48"/>
    </row>
    <row r="2" spans="1:29">
      <c r="A2" s="43">
        <v>45974.705011574071</v>
      </c>
      <c r="B2" s="35" t="s">
        <v>128</v>
      </c>
      <c r="C2" s="35">
        <v>1</v>
      </c>
      <c r="D2" s="35" t="s">
        <v>22</v>
      </c>
      <c r="E2" s="35" t="s">
        <v>23</v>
      </c>
      <c r="F2" s="35" t="s">
        <v>24</v>
      </c>
      <c r="G2" s="35" t="s">
        <v>25</v>
      </c>
      <c r="H2" s="35" t="s">
        <v>26</v>
      </c>
      <c r="I2" s="36" t="s">
        <v>27</v>
      </c>
      <c r="J2" s="37" t="s">
        <v>27</v>
      </c>
      <c r="K2" s="36">
        <v>45961</v>
      </c>
      <c r="L2" s="38">
        <v>45975</v>
      </c>
      <c r="M2" s="35" t="s">
        <v>28</v>
      </c>
      <c r="N2" s="38">
        <v>125000</v>
      </c>
      <c r="O2" s="35"/>
      <c r="P2" s="35">
        <v>125000</v>
      </c>
      <c r="Q2" s="35" t="s">
        <v>29</v>
      </c>
      <c r="R2" s="35" t="s">
        <v>108</v>
      </c>
      <c r="S2" s="35">
        <v>1</v>
      </c>
      <c r="T2" s="35"/>
      <c r="U2" s="35"/>
      <c r="V2" s="35" t="s">
        <v>30</v>
      </c>
      <c r="W2" s="35"/>
      <c r="X2" s="35"/>
      <c r="Y2" s="35"/>
      <c r="Z2" s="35"/>
      <c r="AA2" s="35"/>
      <c r="AB2" s="39"/>
    </row>
    <row r="3" spans="1:29">
      <c r="A3" s="43">
        <v>45974.712488425925</v>
      </c>
      <c r="B3" s="35" t="s">
        <v>128</v>
      </c>
      <c r="C3" s="35">
        <v>1</v>
      </c>
      <c r="D3" s="35" t="s">
        <v>22</v>
      </c>
      <c r="E3" s="35" t="s">
        <v>23</v>
      </c>
      <c r="F3" s="35" t="s">
        <v>24</v>
      </c>
      <c r="G3" s="35" t="s">
        <v>25</v>
      </c>
      <c r="H3" s="35" t="s">
        <v>26</v>
      </c>
      <c r="I3" s="36" t="s">
        <v>27</v>
      </c>
      <c r="J3" s="37" t="s">
        <v>27</v>
      </c>
      <c r="K3" s="36">
        <v>45961</v>
      </c>
      <c r="L3" s="36">
        <v>45975</v>
      </c>
      <c r="M3" s="35" t="s">
        <v>28</v>
      </c>
      <c r="N3" s="35">
        <v>125000</v>
      </c>
      <c r="O3" s="35"/>
      <c r="P3" s="35">
        <v>125000</v>
      </c>
      <c r="Q3" s="35" t="s">
        <v>29</v>
      </c>
      <c r="R3" s="35" t="s">
        <v>108</v>
      </c>
      <c r="S3" s="35">
        <v>1</v>
      </c>
      <c r="T3" s="35"/>
      <c r="U3" s="35"/>
      <c r="V3" s="35" t="s">
        <v>30</v>
      </c>
      <c r="W3" s="35"/>
      <c r="X3" s="35"/>
      <c r="Y3" s="35"/>
      <c r="Z3" s="35"/>
      <c r="AA3" s="35"/>
      <c r="AB3" s="39"/>
    </row>
    <row r="4" spans="1:29">
      <c r="A4" s="43">
        <v>45974.71303240741</v>
      </c>
      <c r="B4" s="35" t="s">
        <v>129</v>
      </c>
      <c r="C4" s="35">
        <v>10</v>
      </c>
      <c r="D4" s="35" t="s">
        <v>48</v>
      </c>
      <c r="E4" s="35" t="s">
        <v>47</v>
      </c>
      <c r="F4" s="35" t="s">
        <v>24</v>
      </c>
      <c r="G4" s="35"/>
      <c r="H4" s="35"/>
      <c r="I4" s="35"/>
      <c r="J4" s="35"/>
      <c r="K4" s="36"/>
      <c r="L4" s="36"/>
      <c r="M4" s="35"/>
      <c r="N4" s="35"/>
      <c r="O4" s="35"/>
      <c r="P4" s="35">
        <v>0</v>
      </c>
      <c r="Q4" s="35"/>
      <c r="R4" s="35" t="s">
        <v>110</v>
      </c>
      <c r="S4" s="35">
        <v>0</v>
      </c>
      <c r="T4" s="35"/>
      <c r="U4" s="35"/>
      <c r="V4" s="35"/>
      <c r="W4" s="35"/>
      <c r="X4" s="35"/>
      <c r="Y4" s="35"/>
      <c r="Z4" s="35"/>
      <c r="AA4" s="35"/>
      <c r="AB4" s="39"/>
    </row>
    <row r="5" spans="1:29">
      <c r="A5" s="43">
        <v>45974.713090277779</v>
      </c>
      <c r="B5" s="35" t="s">
        <v>130</v>
      </c>
      <c r="C5" s="35">
        <v>11</v>
      </c>
      <c r="D5" s="35" t="s">
        <v>49</v>
      </c>
      <c r="E5" s="35" t="s">
        <v>47</v>
      </c>
      <c r="F5" s="35" t="s">
        <v>24</v>
      </c>
      <c r="G5" s="35"/>
      <c r="H5" s="35"/>
      <c r="I5" s="49"/>
      <c r="J5" s="37"/>
      <c r="K5" s="36"/>
      <c r="L5" s="38"/>
      <c r="M5" s="35"/>
      <c r="N5" s="38"/>
      <c r="O5" s="35"/>
      <c r="P5" s="35">
        <v>0</v>
      </c>
      <c r="Q5" s="35"/>
      <c r="R5" s="35" t="s">
        <v>110</v>
      </c>
      <c r="S5" s="35">
        <v>0</v>
      </c>
      <c r="T5" s="35"/>
      <c r="U5" s="35"/>
      <c r="V5" s="35"/>
      <c r="W5" s="35"/>
      <c r="X5" s="35"/>
      <c r="Y5" s="35"/>
      <c r="Z5" s="35"/>
      <c r="AA5" s="35"/>
      <c r="AB5" s="39"/>
    </row>
    <row r="6" spans="1:29">
      <c r="A6" s="43">
        <v>45974.713564814818</v>
      </c>
      <c r="B6" s="35" t="s">
        <v>131</v>
      </c>
      <c r="C6" s="35">
        <v>14</v>
      </c>
      <c r="D6" s="35" t="s">
        <v>53</v>
      </c>
      <c r="E6" s="35" t="s">
        <v>47</v>
      </c>
      <c r="F6" s="35" t="s">
        <v>54</v>
      </c>
      <c r="G6" s="35"/>
      <c r="H6" s="35"/>
      <c r="I6" s="35"/>
      <c r="J6" s="35"/>
      <c r="K6" s="36"/>
      <c r="L6" s="36"/>
      <c r="M6" s="35"/>
      <c r="N6" s="35"/>
      <c r="O6" s="35"/>
      <c r="P6" s="35">
        <v>0</v>
      </c>
      <c r="Q6" s="35"/>
      <c r="R6" s="35" t="s">
        <v>110</v>
      </c>
      <c r="S6" s="35">
        <v>0</v>
      </c>
      <c r="T6" s="35"/>
      <c r="U6" s="35"/>
      <c r="V6" s="35"/>
      <c r="W6" s="35"/>
      <c r="X6" s="35"/>
      <c r="Y6" s="35"/>
      <c r="Z6" s="35"/>
      <c r="AA6" s="35"/>
      <c r="AB6" s="39"/>
    </row>
    <row r="7" spans="1:29">
      <c r="A7" s="43">
        <v>45974.713587962964</v>
      </c>
      <c r="B7" s="40" t="s">
        <v>132</v>
      </c>
      <c r="C7" s="35">
        <v>15</v>
      </c>
      <c r="D7" s="35" t="s">
        <v>55</v>
      </c>
      <c r="E7" s="35" t="s">
        <v>47</v>
      </c>
      <c r="F7" s="35" t="s">
        <v>24</v>
      </c>
      <c r="G7" s="35"/>
      <c r="H7" s="35"/>
      <c r="I7" s="35"/>
      <c r="J7" s="35"/>
      <c r="K7" s="36"/>
      <c r="L7" s="36"/>
      <c r="M7" s="35"/>
      <c r="N7" s="35"/>
      <c r="O7" s="35"/>
      <c r="P7" s="35">
        <v>0</v>
      </c>
      <c r="Q7" s="35"/>
      <c r="R7" s="35" t="s">
        <v>110</v>
      </c>
      <c r="S7" s="35">
        <v>0</v>
      </c>
      <c r="T7" s="35"/>
      <c r="U7" s="35"/>
      <c r="V7" s="35"/>
      <c r="W7" s="35"/>
      <c r="X7" s="35"/>
      <c r="Y7" s="35"/>
      <c r="Z7" s="35"/>
      <c r="AA7" s="35"/>
      <c r="AB7" s="39"/>
    </row>
    <row r="8" spans="1:29">
      <c r="A8" s="43"/>
      <c r="B8" s="35"/>
      <c r="C8" s="35"/>
      <c r="D8" s="35"/>
      <c r="E8" s="35"/>
      <c r="F8" s="35"/>
      <c r="G8" s="35"/>
      <c r="H8" s="35"/>
      <c r="I8" s="35"/>
      <c r="J8" s="35"/>
      <c r="K8" s="36"/>
      <c r="L8" s="36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9"/>
    </row>
    <row r="9" spans="1:29">
      <c r="A9" s="43"/>
      <c r="B9" s="35"/>
      <c r="C9" s="35"/>
      <c r="D9" s="35"/>
      <c r="E9" s="35"/>
      <c r="F9" s="35"/>
      <c r="G9" s="35"/>
      <c r="H9" s="35"/>
      <c r="I9" s="35"/>
      <c r="J9" s="35"/>
      <c r="K9" s="36"/>
      <c r="L9" s="36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9"/>
    </row>
    <row r="10" spans="1:29">
      <c r="A10" s="43"/>
      <c r="B10" s="35"/>
      <c r="C10" s="35"/>
      <c r="D10" s="35"/>
      <c r="E10" s="35"/>
      <c r="F10" s="35"/>
      <c r="G10" s="35"/>
      <c r="H10" s="35"/>
      <c r="I10" s="35"/>
      <c r="J10" s="35"/>
      <c r="K10" s="36"/>
      <c r="L10" s="36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9"/>
    </row>
    <row r="11" spans="1:29">
      <c r="A11" s="43"/>
      <c r="B11" s="35"/>
      <c r="C11" s="35"/>
      <c r="D11" s="35"/>
      <c r="E11" s="35"/>
      <c r="F11" s="35"/>
      <c r="G11" s="35"/>
      <c r="H11" s="35"/>
      <c r="I11" s="35"/>
      <c r="J11" s="35"/>
      <c r="K11" s="36"/>
      <c r="L11" s="36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9"/>
    </row>
    <row r="12" spans="1:29">
      <c r="A12" s="43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9"/>
    </row>
    <row r="13" spans="1:29">
      <c r="A13" s="43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9"/>
    </row>
    <row r="14" spans="1:29">
      <c r="A14" s="43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9"/>
    </row>
    <row r="15" spans="1:29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9"/>
    </row>
    <row r="16" spans="1:29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9"/>
    </row>
    <row r="17" spans="1:28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9"/>
    </row>
    <row r="18" spans="1:28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9"/>
    </row>
    <row r="19" spans="1:28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9"/>
    </row>
    <row r="20" spans="1:28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9"/>
    </row>
    <row r="21" spans="1:28" ht="15.75" customHeight="1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9"/>
    </row>
    <row r="22" spans="1:28" ht="15.75" customHeight="1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9"/>
    </row>
    <row r="23" spans="1:28" ht="15.75" customHeight="1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9"/>
    </row>
    <row r="24" spans="1:28" ht="15.75" customHeight="1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9"/>
    </row>
    <row r="25" spans="1:28" ht="15.75" customHeight="1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9"/>
    </row>
    <row r="26" spans="1:28" ht="15.75" customHeight="1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9"/>
    </row>
    <row r="27" spans="1:28" ht="15.75" customHeight="1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9"/>
    </row>
    <row r="28" spans="1:28" ht="15.75" customHeight="1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9"/>
    </row>
    <row r="29" spans="1:28" ht="15.75" customHeight="1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9"/>
    </row>
    <row r="30" spans="1:28" ht="15.75" customHeight="1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9"/>
    </row>
    <row r="31" spans="1:28" ht="15.75" customHeight="1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9"/>
    </row>
    <row r="32" spans="1:28" ht="15.75" customHeight="1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9"/>
    </row>
    <row r="33" spans="1:28" ht="15.75" customHeight="1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9"/>
    </row>
    <row r="34" spans="1:28" ht="15.75" customHeight="1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9"/>
    </row>
    <row r="35" spans="1:28" ht="15.75" customHeight="1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9"/>
    </row>
    <row r="36" spans="1:28" ht="15.75" customHeight="1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9"/>
    </row>
    <row r="37" spans="1:28" ht="15.75" customHeight="1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9"/>
    </row>
    <row r="38" spans="1:28" ht="15.75" customHeight="1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9"/>
    </row>
    <row r="39" spans="1:28" ht="15.75" customHeight="1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9"/>
    </row>
    <row r="40" spans="1:28" ht="15.75" customHeight="1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9"/>
    </row>
    <row r="41" spans="1:28" ht="15.75" customHeight="1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9"/>
    </row>
    <row r="42" spans="1:28" ht="15.75" customHeight="1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9"/>
    </row>
    <row r="43" spans="1:28" ht="15.75" customHeight="1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9"/>
    </row>
    <row r="44" spans="1:28" ht="15.75" customHeight="1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9"/>
    </row>
    <row r="45" spans="1:28" ht="15.75" customHeight="1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9"/>
    </row>
    <row r="46" spans="1:28" ht="15.75" customHeight="1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9"/>
    </row>
    <row r="47" spans="1:28" ht="15.75" customHeight="1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9"/>
    </row>
    <row r="48" spans="1:28" ht="15.75" customHeight="1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9"/>
    </row>
    <row r="49" spans="1:28" ht="15.75" customHeight="1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9"/>
    </row>
    <row r="50" spans="1:28" ht="15.75" customHeight="1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9"/>
    </row>
    <row r="51" spans="1:28" ht="15.75" customHeight="1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9"/>
    </row>
    <row r="52" spans="1:28" ht="15.75" customHeight="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39"/>
      <c r="AB52" s="39"/>
    </row>
    <row r="53" spans="1:28" ht="15.75" customHeight="1"/>
    <row r="54" spans="1:28" ht="15.75" customHeight="1"/>
    <row r="55" spans="1:28" ht="15.75" customHeight="1"/>
    <row r="56" spans="1:28" ht="15.75" customHeight="1"/>
    <row r="57" spans="1:28" ht="15.75" customHeight="1"/>
    <row r="58" spans="1:28" ht="15.75" customHeight="1"/>
    <row r="59" spans="1:28" ht="15.75" customHeight="1"/>
    <row r="60" spans="1:28" ht="15.75" customHeight="1"/>
    <row r="61" spans="1:28" ht="15.75" customHeight="1"/>
    <row r="62" spans="1:28" ht="15.75" customHeight="1"/>
    <row r="63" spans="1:28" ht="15.75" customHeight="1"/>
    <row r="64" spans="1:28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</sheetData>
  <conditionalFormatting sqref="V38:V52">
    <cfRule type="colorScale" priority="3">
      <colorScale>
        <cfvo type="min"/>
        <cfvo type="max"/>
        <color rgb="FFFF7128"/>
        <color rgb="FFFFEF9C"/>
      </colorScale>
    </cfRule>
  </conditionalFormatting>
  <conditionalFormatting sqref="A2:AB250">
    <cfRule type="expression" dxfId="1" priority="2">
      <formula>ISEVEN(ROW())</formula>
    </cfRule>
    <cfRule type="expression" dxfId="0" priority="1">
      <formula>ISODD(ROW())</formula>
    </cfRule>
  </conditionalFormatting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Billboard Rentals</vt:lpstr>
      <vt:lpstr>Summary Dashboard</vt:lpstr>
      <vt:lpstr>SavedData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Moorche</cp:lastModifiedBy>
  <dcterms:created xsi:type="dcterms:W3CDTF">2025-11-05T14:23:02Z</dcterms:created>
  <dcterms:modified xsi:type="dcterms:W3CDTF">2025-11-13T12:07:59Z</dcterms:modified>
</cp:coreProperties>
</file>